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D:\"/>
    </mc:Choice>
  </mc:AlternateContent>
  <xr:revisionPtr revIDLastSave="0" documentId="13_ncr:1_{CACACF7B-AF0F-4C0B-99F2-BE1BC82E8E3D}" xr6:coauthVersionLast="47" xr6:coauthVersionMax="47" xr10:uidLastSave="{00000000-0000-0000-0000-000000000000}"/>
  <bookViews>
    <workbookView xWindow="-108" yWindow="-108" windowWidth="23256" windowHeight="12456" activeTab="3" xr2:uid="{00000000-000D-0000-FFFF-FFFF00000000}"/>
  </bookViews>
  <sheets>
    <sheet name="Worksheet" sheetId="1" r:id="rId1"/>
    <sheet name="Pivot Table 1" sheetId="2" r:id="rId2"/>
    <sheet name="Pivot Table 2" sheetId="3" r:id="rId3"/>
    <sheet name="Pivot Table 3" sheetId="5" r:id="rId4"/>
  </sheets>
  <definedNames>
    <definedName name="Slicer_Price">#N/A</definedName>
    <definedName name="Z_56F8F6E4_93AA_4E91_8F86_84C5577758AE_.wvu.FilterData" localSheetId="0" hidden="1">Worksheet!$A$1:$G$552</definedName>
  </definedNames>
  <calcPr calcId="191029"/>
  <customWorkbookViews>
    <customWorkbookView name="Filter 1" guid="{56F8F6E4-93AA-4E91-8F86-84C5577758AE}" maximized="1" windowWidth="0" windowHeight="0" activeSheetId="0"/>
  </customWorkbookViews>
  <pivotCaches>
    <pivotCache cacheId="2" r:id="rId5"/>
    <pivotCache cacheId="6" r:id="rId6"/>
    <pivotCache cacheId="10" r:id="rId7"/>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51" i="2" l="1"/>
  <c r="C350" i="2"/>
  <c r="C349" i="2"/>
  <c r="C348" i="2"/>
  <c r="C347" i="2"/>
  <c r="C346" i="2"/>
  <c r="C345" i="2"/>
  <c r="C344" i="2"/>
  <c r="C343" i="2"/>
  <c r="C342" i="2"/>
  <c r="C341" i="2"/>
  <c r="C340" i="2"/>
  <c r="C339" i="2"/>
  <c r="C338" i="2"/>
  <c r="C337" i="2"/>
  <c r="C336" i="2"/>
  <c r="C335" i="2"/>
  <c r="C334" i="2"/>
  <c r="C333" i="2"/>
  <c r="C332" i="2"/>
  <c r="C331" i="2"/>
  <c r="C330" i="2"/>
  <c r="C329" i="2"/>
  <c r="C328" i="2"/>
  <c r="C327" i="2"/>
  <c r="C326" i="2"/>
  <c r="C325" i="2"/>
  <c r="C324" i="2"/>
  <c r="C323" i="2"/>
  <c r="C322" i="2"/>
  <c r="C321" i="2"/>
  <c r="C320" i="2"/>
  <c r="C319" i="2"/>
  <c r="C318" i="2"/>
  <c r="C317" i="2"/>
  <c r="C316" i="2"/>
  <c r="C315" i="2"/>
  <c r="C314" i="2"/>
  <c r="C313" i="2"/>
  <c r="C312" i="2"/>
  <c r="C311" i="2"/>
  <c r="C310" i="2"/>
  <c r="C309" i="2"/>
  <c r="C308" i="2"/>
  <c r="C307" i="2"/>
  <c r="C306" i="2"/>
  <c r="C305" i="2"/>
  <c r="C304" i="2"/>
  <c r="C303" i="2"/>
  <c r="C302" i="2"/>
  <c r="C301" i="2"/>
  <c r="C300" i="2"/>
  <c r="C299" i="2"/>
  <c r="C298" i="2"/>
  <c r="C297" i="2"/>
  <c r="C296" i="2"/>
  <c r="C295" i="2"/>
  <c r="C294" i="2"/>
  <c r="C293" i="2"/>
  <c r="C292" i="2"/>
  <c r="C291" i="2"/>
  <c r="C290" i="2"/>
  <c r="C289" i="2"/>
  <c r="C288" i="2"/>
  <c r="C287" i="2"/>
  <c r="C286" i="2"/>
  <c r="C285" i="2"/>
  <c r="C284" i="2"/>
  <c r="C283" i="2"/>
  <c r="C282" i="2"/>
  <c r="C281" i="2"/>
  <c r="C280" i="2"/>
  <c r="C279" i="2"/>
  <c r="C278" i="2"/>
  <c r="C277" i="2"/>
  <c r="C276" i="2"/>
  <c r="C275" i="2"/>
  <c r="C274" i="2"/>
  <c r="C273" i="2"/>
  <c r="C272" i="2"/>
  <c r="C271" i="2"/>
  <c r="C270" i="2"/>
  <c r="C269" i="2"/>
  <c r="C268" i="2"/>
  <c r="C267" i="2"/>
  <c r="C266" i="2"/>
  <c r="C265" i="2"/>
  <c r="C264" i="2"/>
  <c r="C263" i="2"/>
  <c r="C262" i="2"/>
  <c r="C261" i="2"/>
  <c r="C260" i="2"/>
  <c r="C259" i="2"/>
  <c r="C258" i="2"/>
  <c r="C257" i="2"/>
  <c r="C256" i="2"/>
  <c r="C255" i="2"/>
  <c r="C254" i="2"/>
  <c r="C253" i="2"/>
  <c r="C252" i="2"/>
  <c r="C251" i="2"/>
  <c r="C250" i="2"/>
  <c r="C249" i="2"/>
  <c r="C248" i="2"/>
  <c r="C247" i="2"/>
  <c r="C246" i="2"/>
  <c r="C245" i="2"/>
  <c r="C244" i="2"/>
  <c r="C243" i="2"/>
  <c r="C242" i="2"/>
  <c r="C241" i="2"/>
  <c r="C240" i="2"/>
  <c r="C239" i="2"/>
  <c r="C238" i="2"/>
  <c r="C237" i="2"/>
  <c r="C236" i="2"/>
  <c r="C235" i="2"/>
  <c r="C234" i="2"/>
  <c r="C233" i="2"/>
  <c r="C232" i="2"/>
  <c r="C231" i="2"/>
  <c r="C230" i="2"/>
  <c r="C229" i="2"/>
  <c r="C228" i="2"/>
  <c r="C227" i="2"/>
  <c r="C226" i="2"/>
  <c r="C225" i="2"/>
  <c r="C224" i="2"/>
  <c r="C223" i="2"/>
  <c r="C222" i="2"/>
  <c r="C221" i="2"/>
  <c r="C220" i="2"/>
  <c r="C219" i="2"/>
  <c r="C218" i="2"/>
  <c r="C217" i="2"/>
  <c r="C216" i="2"/>
  <c r="C215" i="2"/>
  <c r="C214" i="2"/>
  <c r="C213" i="2"/>
  <c r="C212" i="2"/>
  <c r="C211" i="2"/>
  <c r="C210" i="2"/>
  <c r="C209" i="2"/>
  <c r="C208" i="2"/>
  <c r="C207" i="2"/>
  <c r="C206" i="2"/>
  <c r="C205" i="2"/>
  <c r="C204" i="2"/>
  <c r="C203" i="2"/>
  <c r="C202" i="2"/>
  <c r="C201" i="2"/>
  <c r="C200" i="2"/>
  <c r="C199" i="2"/>
  <c r="C198" i="2"/>
  <c r="C197" i="2"/>
  <c r="C196" i="2"/>
  <c r="C195" i="2"/>
  <c r="C194" i="2"/>
  <c r="C193" i="2"/>
  <c r="C192" i="2"/>
  <c r="C191" i="2"/>
  <c r="C190" i="2"/>
  <c r="C189" i="2"/>
  <c r="C188" i="2"/>
  <c r="C187" i="2"/>
  <c r="C186" i="2"/>
  <c r="C185" i="2"/>
  <c r="C184" i="2"/>
  <c r="C183" i="2"/>
  <c r="C182" i="2"/>
  <c r="C181" i="2"/>
  <c r="C180" i="2"/>
  <c r="C179" i="2"/>
  <c r="C178" i="2"/>
  <c r="C177" i="2"/>
  <c r="C176" i="2"/>
  <c r="C175" i="2"/>
  <c r="C174" i="2"/>
  <c r="C173" i="2"/>
  <c r="C172" i="2"/>
  <c r="C171" i="2"/>
  <c r="C170" i="2"/>
  <c r="C169" i="2"/>
  <c r="C168" i="2"/>
  <c r="C167" i="2"/>
  <c r="C166" i="2"/>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C5" i="2"/>
  <c r="C4" i="2"/>
  <c r="C3" i="2"/>
  <c r="D2" i="2"/>
  <c r="C2" i="2"/>
  <c r="C352" i="2" l="1"/>
</calcChain>
</file>

<file path=xl/sharedStrings.xml><?xml version="1.0" encoding="utf-8"?>
<sst xmlns="http://schemas.openxmlformats.org/spreadsheetml/2006/main" count="2034" uniqueCount="620">
  <si>
    <t>Name</t>
  </si>
  <si>
    <t>Author</t>
  </si>
  <si>
    <t>User Rating</t>
  </si>
  <si>
    <t>Reviews</t>
  </si>
  <si>
    <t>Price</t>
  </si>
  <si>
    <t>Year</t>
  </si>
  <si>
    <t>Genre</t>
  </si>
  <si>
    <t xml:space="preserve"> </t>
  </si>
  <si>
    <t>This is the original spreadsheet that we are going to work with, transform and get all the insights we can get after analyzing the data</t>
  </si>
  <si>
    <t>10-Day Green Smoothie Cleanse</t>
  </si>
  <si>
    <t>JJ Smith</t>
  </si>
  <si>
    <t>Non Fiction</t>
  </si>
  <si>
    <t>11/22/63: A Novel</t>
  </si>
  <si>
    <t>Stephen King</t>
  </si>
  <si>
    <t>Fiction</t>
  </si>
  <si>
    <t>12 Rules for Life: An Antidote to Chaos</t>
  </si>
  <si>
    <t>Jordan B. Peterson</t>
  </si>
  <si>
    <t>1984 (Signet Classics)</t>
  </si>
  <si>
    <t>George Orwell</t>
  </si>
  <si>
    <t>5,000 Awesome Facts (About Everything!) (National Geographic Kids)</t>
  </si>
  <si>
    <t>National Geographic Kids</t>
  </si>
  <si>
    <t>Tools and functions we are going to use in this exercise: PivotTables, different types of Counts, add/ remove a slicer, some simple visualization chart</t>
  </si>
  <si>
    <t>A Dance with Dragons (A Song of Ice and Fire)</t>
  </si>
  <si>
    <t>George R. R. Martin</t>
  </si>
  <si>
    <t>A Game of Thrones / A Clash of Kings / A Storm of Swords / A Feast of Crows / A Dance with Dragons</t>
  </si>
  <si>
    <t>A Gentleman in Moscow: A Novel</t>
  </si>
  <si>
    <t>Amor Towles</t>
  </si>
  <si>
    <t>A Higher Loyalty: Truth, Lies, and Leadership</t>
  </si>
  <si>
    <t>James Comey</t>
  </si>
  <si>
    <t>A Man Called Ove: A Novel</t>
  </si>
  <si>
    <t>Fredrik Backman</t>
  </si>
  <si>
    <t>A Patriot's History of the United States: From Columbus's Great Discovery to the War on Terror</t>
  </si>
  <si>
    <t>Larry Schweikart</t>
  </si>
  <si>
    <t>A Stolen Life: A Memoir</t>
  </si>
  <si>
    <t>Jaycee Dugard</t>
  </si>
  <si>
    <t>A Wrinkle in Time (Time Quintet)</t>
  </si>
  <si>
    <t>Madeleine L'Engle</t>
  </si>
  <si>
    <t>Act Like a Lady, Think Like a Man: What Men Really Think About Love, Relationships, Intimacy, and Commitment</t>
  </si>
  <si>
    <t>Steve Harvey</t>
  </si>
  <si>
    <t>Adult Coloring Book Designs: Stress Relief Coloring Book: Garden Designs, Mandalas, Animals, and Paisley Patterns</t>
  </si>
  <si>
    <t>Adult Coloring Book Designs</t>
  </si>
  <si>
    <t>Adult Coloring Book: Stress Relieving Animal Designs</t>
  </si>
  <si>
    <t>Blue Star Coloring</t>
  </si>
  <si>
    <t>Adult Coloring Book: Stress Relieving Patterns</t>
  </si>
  <si>
    <t>Adult Coloring Books: A Coloring Book for Adults Featuring Mandalas and Henna Inspired Flowers, Animals, and Paisley…</t>
  </si>
  <si>
    <t>Coloring Books for Adults</t>
  </si>
  <si>
    <t>Alexander Hamilton</t>
  </si>
  <si>
    <t>Ron Chernow</t>
  </si>
  <si>
    <t>All the Light We Cannot See</t>
  </si>
  <si>
    <t>Anthony Doerr</t>
  </si>
  <si>
    <t>Allegiant</t>
  </si>
  <si>
    <t>Veronica Roth</t>
  </si>
  <si>
    <t>American Sniper: The Autobiography of the Most Lethal Sniper in U.S. Military History</t>
  </si>
  <si>
    <t>Chris Kyle</t>
  </si>
  <si>
    <t>And the Mountains Echoed</t>
  </si>
  <si>
    <t>Khaled Hosseini</t>
  </si>
  <si>
    <t>Arguing with Idiots: How to Stop Small Minds and Big Government</t>
  </si>
  <si>
    <t>Glenn Beck</t>
  </si>
  <si>
    <t>Astrophysics for People in a Hurry</t>
  </si>
  <si>
    <t>Neil deGrasse Tyson</t>
  </si>
  <si>
    <t>Autobiography of Mark Twain, Vol. 1</t>
  </si>
  <si>
    <t>Mark Twain</t>
  </si>
  <si>
    <t>Baby Touch and Feel: Animals</t>
  </si>
  <si>
    <t>DK</t>
  </si>
  <si>
    <t>Balance (Angie's Extreme Stress Menders)</t>
  </si>
  <si>
    <t>Angie Grace</t>
  </si>
  <si>
    <t>Barefoot Contessa Foolproof: Recipes You Can Trust: A Cookbook</t>
  </si>
  <si>
    <t>Ina Garten</t>
  </si>
  <si>
    <t>Barefoot Contessa, How Easy Is That?: Fabulous Recipes &amp; Easy Tips</t>
  </si>
  <si>
    <t>Becoming</t>
  </si>
  <si>
    <t>Michelle Obama</t>
  </si>
  <si>
    <t>Being Mortal: Medicine and What Matters in the End</t>
  </si>
  <si>
    <t>Atul Gawande</t>
  </si>
  <si>
    <t>Between the World and Me</t>
  </si>
  <si>
    <t>Ta-Nehisi Coates</t>
  </si>
  <si>
    <t>Born to Run</t>
  </si>
  <si>
    <t>Bruce Springsteen</t>
  </si>
  <si>
    <t>Breaking Dawn (The Twilight Saga, Book 4)</t>
  </si>
  <si>
    <t>Stephenie Meyer</t>
  </si>
  <si>
    <t>Broke: The Plan to Restore Our Trust, Truth and Treasure</t>
  </si>
  <si>
    <t>Brown Bear, Brown Bear, What Do You See?</t>
  </si>
  <si>
    <t>Bill Martin Jr.</t>
  </si>
  <si>
    <t>Cabin Fever (Diary of a Wimpy Kid, Book 6)</t>
  </si>
  <si>
    <t>Jeff Kinney</t>
  </si>
  <si>
    <t>Calm the F*ck Down: An Irreverent Adult Coloring Book (Irreverent Book Series)</t>
  </si>
  <si>
    <t>Sasha O'Hara</t>
  </si>
  <si>
    <t>Can't Hurt Me: Master Your Mind and Defy the Odds</t>
  </si>
  <si>
    <t>David Goggins</t>
  </si>
  <si>
    <t>Capital in the Twenty First Century</t>
  </si>
  <si>
    <t>Thomas Piketty</t>
  </si>
  <si>
    <t>Catching Fire (The Hunger Games)</t>
  </si>
  <si>
    <t>Suzanne Collins</t>
  </si>
  <si>
    <t>Cravings: Recipes for All the Food You Want to Eat: A Cookbook</t>
  </si>
  <si>
    <t>Chrissy Teigen</t>
  </si>
  <si>
    <t>Crazy Love: Overwhelmed by a Relentless God</t>
  </si>
  <si>
    <t>Francis Chan</t>
  </si>
  <si>
    <t>Crazy Rich Asians (Crazy Rich Asians Trilogy)</t>
  </si>
  <si>
    <t>Kevin Kwan</t>
  </si>
  <si>
    <t>Creative Haven Creative Cats Coloring Book (Adult Coloring)</t>
  </si>
  <si>
    <t>Marjorie Sarnat</t>
  </si>
  <si>
    <t>Creative Haven Owls Coloring Book (Adult Coloring)</t>
  </si>
  <si>
    <t>Cutting for Stone</t>
  </si>
  <si>
    <t>Abraham Verghese</t>
  </si>
  <si>
    <t>Daring Greatly: How the Courage to Be Vulnerable Transforms the Way We Live, Love, Parent, and Lead</t>
  </si>
  <si>
    <t>Brené Brown</t>
  </si>
  <si>
    <t>David and Goliath: Underdogs, Misfits, and the Art of Battling Giants</t>
  </si>
  <si>
    <t>Malcolm Gladwell</t>
  </si>
  <si>
    <t>Dead And Gone: A Sookie Stackhouse Novel (Sookie Stackhouse/True Blood)</t>
  </si>
  <si>
    <t>Charlaine Harris</t>
  </si>
  <si>
    <t>Dead in the Family (Sookie Stackhouse/True Blood, Book 10)</t>
  </si>
  <si>
    <t>Dead Reckoning (Sookie Stackhouse/True Blood, Book 11)</t>
  </si>
  <si>
    <t>Dear Zoo: A Lift-the-Flap Book</t>
  </si>
  <si>
    <t>Rod Campbell</t>
  </si>
  <si>
    <t>Decision Points</t>
  </si>
  <si>
    <t>George W. Bush</t>
  </si>
  <si>
    <t>Delivering Happiness: A Path to Profits, Passion, and Purpose</t>
  </si>
  <si>
    <t>Tony Hsieh</t>
  </si>
  <si>
    <t>Diagnostic and Statistical Manual of Mental Disorders, 5th Edition: DSM-5</t>
  </si>
  <si>
    <t>American Psychiatric Association</t>
  </si>
  <si>
    <t>Diary of a Wimpy Kid: Hard Luck, Book 8</t>
  </si>
  <si>
    <t>Diary of a Wimpy Kid: The Last Straw (Book 3)</t>
  </si>
  <si>
    <t>Diary of a Wimpy Kid: The Long Haul</t>
  </si>
  <si>
    <t>Difficult Riddles For Smart Kids: 300 Difficult Riddles And Brain Teasers Families Will Love (Books for Smart Kids)</t>
  </si>
  <si>
    <t>M Prefontaine</t>
  </si>
  <si>
    <t>Divergent</t>
  </si>
  <si>
    <t>Divergent / Insurgent</t>
  </si>
  <si>
    <t>Divine Soul Mind Body Healing and Transmission System: The Divine Way to Heal You, Humanity, Mother Earth, and All…</t>
  </si>
  <si>
    <t>Zhi Gang Sha</t>
  </si>
  <si>
    <t>Doctor Sleep: A Novel</t>
  </si>
  <si>
    <t>Dog Days (Diary of a Wimpy Kid, Book 4) (Volume 4)</t>
  </si>
  <si>
    <t>Dog Man and Cat Kid: From the Creator of Captain Underpants (Dog Man #4)</t>
  </si>
  <si>
    <t>Dav Pilkey</t>
  </si>
  <si>
    <t>Dog Man: A Tale of Two Kitties: From the Creator of Captain Underpants (Dog Man #3)</t>
  </si>
  <si>
    <t>Dog Man: Brawl of the Wild: From the Creator of Captain Underpants (Dog Man #6)</t>
  </si>
  <si>
    <t>Dog Man: Fetch-22: From the Creator of Captain Underpants (Dog Man #8)</t>
  </si>
  <si>
    <t>Dog Man: For Whom the Ball Rolls: From the Creator of Captain Underpants (Dog Man #7)</t>
  </si>
  <si>
    <t>Dog Man: Lord of the Fleas: From the Creator of Captain Underpants (Dog Man #5)</t>
  </si>
  <si>
    <t>Double Down (Diary of a Wimpy Kid #11)</t>
  </si>
  <si>
    <t>Dover Creative Haven Art Nouveau Animal Designs Coloring Book (Creative Haven Coloring Books)</t>
  </si>
  <si>
    <t>Marty Noble</t>
  </si>
  <si>
    <t>Drive: The Surprising Truth About What Motivates Us</t>
  </si>
  <si>
    <t>Daniel H. Pink</t>
  </si>
  <si>
    <t>Eat This Not That! Supermarket Survival Guide: The No-Diet Weight Loss Solution</t>
  </si>
  <si>
    <t>David Zinczenko</t>
  </si>
  <si>
    <t>Eat This, Not That! Thousands of Simple Food Swaps that Can Save You 10, 20, 30 Pounds--or More!</t>
  </si>
  <si>
    <t>Eat to Live: The Amazing Nutrient-Rich Program for Fast and Sustained Weight Loss, Revised Edition</t>
  </si>
  <si>
    <t>Joel Fuhrman MD</t>
  </si>
  <si>
    <t>Eclipse (Twilight Sagas)</t>
  </si>
  <si>
    <t>Eclipse (Twilight)</t>
  </si>
  <si>
    <t>Educated: A Memoir</t>
  </si>
  <si>
    <t>Tara Westover</t>
  </si>
  <si>
    <t>Enchanted Forest: An Inky Quest and Coloring book (Activity Books, Mindfulness and Meditation, Illustrated Floral Prints…</t>
  </si>
  <si>
    <t>Johanna Basford</t>
  </si>
  <si>
    <t>Fahrenheit 451</t>
  </si>
  <si>
    <t>Ray Bradbury</t>
  </si>
  <si>
    <t>Fantastic Beasts and Where to Find Them: The Original Screenplay (Harry Potter)</t>
  </si>
  <si>
    <t>J.K. Rowling</t>
  </si>
  <si>
    <t>Fear: Trump in the White House</t>
  </si>
  <si>
    <t>Bob Woodward</t>
  </si>
  <si>
    <t>Fifty Shades Darker</t>
  </si>
  <si>
    <t>E L James</t>
  </si>
  <si>
    <t>Fifty Shades Freed: Book Three of the Fifty Shades Trilogy (Fifty Shades of Grey Series) (English Edition)</t>
  </si>
  <si>
    <t>Fifty Shades of Grey: Book One of the Fifty Shades Trilogy (Fifty Shades of Grey Series)</t>
  </si>
  <si>
    <t>Fifty Shades Trilogy (Fifty Shades of Grey / Fifty Shades Darker / Fifty Shades Freed)</t>
  </si>
  <si>
    <t>Fire and Fury: Inside the Trump White House</t>
  </si>
  <si>
    <t>Michael Wolff</t>
  </si>
  <si>
    <t>First 100 Words</t>
  </si>
  <si>
    <t>Roger Priddy</t>
  </si>
  <si>
    <t>Food Rules: An Eater's Manual</t>
  </si>
  <si>
    <t>Michael Pollan</t>
  </si>
  <si>
    <t>Frozen (Little Golden Book)</t>
  </si>
  <si>
    <t>RH Disney</t>
  </si>
  <si>
    <t>Game Change: Obama and the Clintons, McCain and Palin, and the Race of a Lifetime</t>
  </si>
  <si>
    <t>John Heilemann</t>
  </si>
  <si>
    <t>Game of Thrones Boxed Set: A Game of Thrones/A Clash of Kings/A Storm of Swords/A Feast for Crows</t>
  </si>
  <si>
    <t>George R.R. Martin</t>
  </si>
  <si>
    <t>George Washington's Sacred Fire</t>
  </si>
  <si>
    <t>Peter A. Lillback</t>
  </si>
  <si>
    <t>George Washington's Secret Six: The Spy Ring That Saved the American Revolution</t>
  </si>
  <si>
    <t>Brian Kilmeade</t>
  </si>
  <si>
    <t>Giraffes Can't Dance</t>
  </si>
  <si>
    <t>Giles Andreae</t>
  </si>
  <si>
    <t>Girl, Stop Apologizing: A Shame-Free Plan for Embracing and Achieving Your Goals</t>
  </si>
  <si>
    <t>Rachel Hollis</t>
  </si>
  <si>
    <t>Girl, Wash Your Face: Stop Believing the Lies About Who You Are So You Can Become Who You Were Meant to Be</t>
  </si>
  <si>
    <t>Glenn Beck's Common Sense: The Case Against an Out-of-Control Government, Inspired by Thomas Paine</t>
  </si>
  <si>
    <t>Go Set a Watchman: A Novel</t>
  </si>
  <si>
    <t>Harper Lee</t>
  </si>
  <si>
    <t>Go the F**k to Sleep</t>
  </si>
  <si>
    <t>Adam Mansbach</t>
  </si>
  <si>
    <t>Going Rogue: An American Life</t>
  </si>
  <si>
    <t>Sarah Palin</t>
  </si>
  <si>
    <t>Gone Girl</t>
  </si>
  <si>
    <t>Gillian Flynn</t>
  </si>
  <si>
    <t>Good Days Start With Gratitude: A 52 Week Guide To Cultivate An Attitude Of Gratitude: Gratitude Journal</t>
  </si>
  <si>
    <t>Pretty Simple Press</t>
  </si>
  <si>
    <t>Good to Great: Why Some Companies Make the Leap and Others Don't</t>
  </si>
  <si>
    <t>Jim Collins</t>
  </si>
  <si>
    <t>Goodnight Moon</t>
  </si>
  <si>
    <t>Margaret Wise Brown</t>
  </si>
  <si>
    <t>Goodnight, Goodnight Construction Site (Hardcover Books for Toddlers, Preschool Books for Kids)</t>
  </si>
  <si>
    <t>Sherri Duskey Rinker</t>
  </si>
  <si>
    <t>Grain Brain: The Surprising Truth about Wheat, Carbs, and Sugar--Your Brain's Silent Killers</t>
  </si>
  <si>
    <t>David Perlmutter MD</t>
  </si>
  <si>
    <t>Grey: Fifty Shades of Grey as Told by Christian (Fifty Shades of Grey Series)</t>
  </si>
  <si>
    <t>Guts</t>
  </si>
  <si>
    <t>Raina Telgemeier</t>
  </si>
  <si>
    <t>Hamilton: The Revolution</t>
  </si>
  <si>
    <t>Lin-Manuel Miranda</t>
  </si>
  <si>
    <t>Happy, Happy, Happy: My Life and Legacy as the Duck Commander</t>
  </si>
  <si>
    <t>Phil Robertson</t>
  </si>
  <si>
    <t>Harry Potter and the Chamber of Secrets: The Illustrated Edition (Harry Potter, Book 2)</t>
  </si>
  <si>
    <t>Harry Potter and the Cursed Child, Parts 1 &amp; 2, Special Rehearsal Edition Script</t>
  </si>
  <si>
    <t>Harry Potter and the Goblet of Fire: The Illustrated Edition (Harry Potter, Book 4) (4)</t>
  </si>
  <si>
    <t>J. K. Rowling</t>
  </si>
  <si>
    <t>Harry Potter and the Prisoner of Azkaban: The Illustrated Edition (Harry Potter, Book 3)</t>
  </si>
  <si>
    <t>Harry Potter and the Sorcerer's Stone: The Illustrated Edition (Harry Potter, Book 1)</t>
  </si>
  <si>
    <t>Harry Potter Coloring Book</t>
  </si>
  <si>
    <t>Scholastic</t>
  </si>
  <si>
    <t>Harry Potter Paperback Box Set (Books 1-7)</t>
  </si>
  <si>
    <t>Have a Little Faith: A True Story</t>
  </si>
  <si>
    <t>Mitch Albom</t>
  </si>
  <si>
    <t>Heaven is for Real: A Little Boy's Astounding Story of His Trip to Heaven and Back</t>
  </si>
  <si>
    <t>Todd Burpo</t>
  </si>
  <si>
    <t>Hillbilly Elegy: A Memoir of a Family and Culture in Crisis</t>
  </si>
  <si>
    <t>J. D. Vance</t>
  </si>
  <si>
    <t>Homebody: A Guide to Creating Spaces You Never Want to Leave</t>
  </si>
  <si>
    <t>Joanna Gaines</t>
  </si>
  <si>
    <t>How to Win Friends &amp; Influence People</t>
  </si>
  <si>
    <t>Dale Carnegie</t>
  </si>
  <si>
    <t>Howard Stern Comes Again</t>
  </si>
  <si>
    <t>Howard Stern</t>
  </si>
  <si>
    <t>Humans of New York</t>
  </si>
  <si>
    <t>Brandon Stanton</t>
  </si>
  <si>
    <t>Humans of New York : Stories</t>
  </si>
  <si>
    <t>Hyperbole and a Half: Unfortunate Situations, Flawed Coping Mechanisms, Mayhem, and Other Things That Happened</t>
  </si>
  <si>
    <t>Allie Brosh</t>
  </si>
  <si>
    <t>I Am Confident, Brave &amp; Beautiful: A Coloring Book for Girls</t>
  </si>
  <si>
    <t>Hopscotch Girls</t>
  </si>
  <si>
    <t>I, Alex Cross</t>
  </si>
  <si>
    <t>James Patterson</t>
  </si>
  <si>
    <t>If Animals Kissed Good Night</t>
  </si>
  <si>
    <t>Ann Whitford Paul</t>
  </si>
  <si>
    <t>If I Stay</t>
  </si>
  <si>
    <t>Gayle Forman</t>
  </si>
  <si>
    <t>In the Garden of Beasts: Love, Terror, and an American Family in Hitler's Berlin</t>
  </si>
  <si>
    <t>Eric Larson</t>
  </si>
  <si>
    <t>Inferno</t>
  </si>
  <si>
    <t>Dan Brown</t>
  </si>
  <si>
    <t>Inheritance: Book IV (Inheritance Cycle)</t>
  </si>
  <si>
    <t>Christopher Paolini</t>
  </si>
  <si>
    <t>Instant Pot Pressure Cooker Cookbook: 500 Everyday Recipes for Beginners and Advanced Users. Try Easy and Healthy…</t>
  </si>
  <si>
    <t>Jennifer Smith</t>
  </si>
  <si>
    <t>It's Not Supposed to Be This Way: Finding Unexpected Strength When Disappointments Leave You Shattered</t>
  </si>
  <si>
    <t>Lysa TerKeurst</t>
  </si>
  <si>
    <t>Jesus Calling: Enjoying Peace in His Presence (with Scripture References)</t>
  </si>
  <si>
    <t>Sarah Young</t>
  </si>
  <si>
    <t>JOURNEY TO THE ICE P</t>
  </si>
  <si>
    <t>Joyland (Hard Case Crime)</t>
  </si>
  <si>
    <t>Killers of the Flower Moon: The Osage Murders and the Birth of the FBI</t>
  </si>
  <si>
    <t>David Grann</t>
  </si>
  <si>
    <t>Killing Jesus (Bill O'Reilly's Killing Series)</t>
  </si>
  <si>
    <t>Bill O'Reilly</t>
  </si>
  <si>
    <t>Killing Kennedy: The End of Camelot</t>
  </si>
  <si>
    <t>Killing Lincoln: The Shocking Assassination that Changed America Forever (Bill O'Reilly's Killing Series)</t>
  </si>
  <si>
    <t>Killing Patton: The Strange Death of World War II's Most Audacious General (Bill O'Reilly's Killing Series)</t>
  </si>
  <si>
    <t>Killing Reagan: The Violent Assault That Changed a Presidency (Bill O'Reilly's Killing Series)</t>
  </si>
  <si>
    <t>Killing the Rising Sun: How America Vanquished World War II Japan (Bill O'Reilly's Killing Series)</t>
  </si>
  <si>
    <t>Kitchen Confidential Updated Edition: Adventures in the Culinary Underbelly (P.S.)</t>
  </si>
  <si>
    <t>Anthony Bourdain</t>
  </si>
  <si>
    <t>Knock-Knock Jokes for Kids</t>
  </si>
  <si>
    <t>Rob Elliott</t>
  </si>
  <si>
    <t>Last Week Tonight with John Oliver Presents A Day in the Life of Marlon Bundo (Better Bundo Book, LGBT Childrens Book)</t>
  </si>
  <si>
    <t>Jill Twiss</t>
  </si>
  <si>
    <t>Laugh-Out-Loud Jokes for Kids</t>
  </si>
  <si>
    <t>Lean In: Women, Work, and the Will to Lead</t>
  </si>
  <si>
    <t>Sheryl Sandberg</t>
  </si>
  <si>
    <t>Leonardo da Vinci</t>
  </si>
  <si>
    <t>Walter Isaacson</t>
  </si>
  <si>
    <t>Lettering and Modern Calligraphy: A Beginner's Guide: Learn Hand Lettering and Brush Lettering</t>
  </si>
  <si>
    <t>Paper Peony Press</t>
  </si>
  <si>
    <t>Liberty and Tyranny: A Conservative Manifesto</t>
  </si>
  <si>
    <t>Mark R. Levin</t>
  </si>
  <si>
    <t>Life</t>
  </si>
  <si>
    <t>Keith Richards</t>
  </si>
  <si>
    <t>Little Bee: A Novel</t>
  </si>
  <si>
    <t>Chris Cleave</t>
  </si>
  <si>
    <t>Little Blue Truck</t>
  </si>
  <si>
    <t>Alice Schertle</t>
  </si>
  <si>
    <t>Little Fires Everywhere</t>
  </si>
  <si>
    <t>Celeste Ng</t>
  </si>
  <si>
    <t>Looking for Alaska</t>
  </si>
  <si>
    <t>John Green</t>
  </si>
  <si>
    <t>Love Wins: A Book About Heaven, Hell, and the Fate of Every Person Who Ever Lived</t>
  </si>
  <si>
    <t>Rob Bell</t>
  </si>
  <si>
    <t>Love You Forever</t>
  </si>
  <si>
    <t>Robert Munsch</t>
  </si>
  <si>
    <t>Magnolia Table: A Collection of Recipes for Gathering</t>
  </si>
  <si>
    <t>Make It Ahead: A Barefoot Contessa Cookbook</t>
  </si>
  <si>
    <t>Make Your Bed: Little Things That Can Change Your Life...And Maybe the World</t>
  </si>
  <si>
    <t>Admiral William H. McRaven</t>
  </si>
  <si>
    <t>Mastering the Art of French Cooking, Vol. 2</t>
  </si>
  <si>
    <t>Julia Child</t>
  </si>
  <si>
    <t>Milk and Honey</t>
  </si>
  <si>
    <t>Rupi Kaur</t>
  </si>
  <si>
    <t>Milk and Vine: Inspirational Quotes From Classic Vines</t>
  </si>
  <si>
    <t>Adam Gasiewski</t>
  </si>
  <si>
    <t>Mindset: The New Psychology of Success</t>
  </si>
  <si>
    <t>Carol S. Dweck</t>
  </si>
  <si>
    <t>Mockingjay (The Hunger Games)</t>
  </si>
  <si>
    <t>National Geographic Kids Why?: Over 1,111 Answers to Everything</t>
  </si>
  <si>
    <t>Crispin Boyer</t>
  </si>
  <si>
    <t>National Geographic Little Kids First Big Book of Why (National Geographic Little Kids First Big Books)</t>
  </si>
  <si>
    <t>Amy Shields</t>
  </si>
  <si>
    <t>New Moon (The Twilight Saga)</t>
  </si>
  <si>
    <t>Night (Night)</t>
  </si>
  <si>
    <t>Elie Wiesel</t>
  </si>
  <si>
    <t>No Easy Day: The Autobiography of a Navy Seal: The Firsthand Account of the Mission That Killed Osama Bin Laden</t>
  </si>
  <si>
    <t>Mark Owen</t>
  </si>
  <si>
    <t>Obama: An Intimate Portrait</t>
  </si>
  <si>
    <t>Pete Souza</t>
  </si>
  <si>
    <t>Oh, the Places You'll Go!</t>
  </si>
  <si>
    <t>Dr. Seuss</t>
  </si>
  <si>
    <t>Old School (Diary of a Wimpy Kid #10)</t>
  </si>
  <si>
    <t>Olive Kitteridge</t>
  </si>
  <si>
    <t>Elizabeth Strout</t>
  </si>
  <si>
    <t>One Thousand Gifts: A Dare to Live Fully Right Where You Are</t>
  </si>
  <si>
    <t>Ann Voskamp</t>
  </si>
  <si>
    <t>Option B: Facing Adversity, Building Resilience, and Finding Joy</t>
  </si>
  <si>
    <t>Origin: A Novel (Robert Langdon)</t>
  </si>
  <si>
    <t>Orphan Train</t>
  </si>
  <si>
    <t>Christina Baker Kline</t>
  </si>
  <si>
    <t>Outliers: The Story of Success</t>
  </si>
  <si>
    <t>P is for Potty! (Sesame Street) (Lift-the-Flap)</t>
  </si>
  <si>
    <t>Naomi Kleinberg</t>
  </si>
  <si>
    <t>Percy Jackson and the Olympians Paperback Boxed Set (Books 1-3)</t>
  </si>
  <si>
    <t>Rick Riordan</t>
  </si>
  <si>
    <t>Player's Handbook (Dungeons &amp; Dragons)</t>
  </si>
  <si>
    <t>Wizards RPG Team</t>
  </si>
  <si>
    <t>Pokémon Deluxe Essential Handbook: The Need-to-Know Stats and Facts on Over 700 Pokémon</t>
  </si>
  <si>
    <t>Proof of Heaven: A Neurosurgeon's Journey into the Afterlife</t>
  </si>
  <si>
    <t>Eben Alexander</t>
  </si>
  <si>
    <t>Publication Manual of the American Psychological Association, 6th Edition</t>
  </si>
  <si>
    <t>American Psychological Association</t>
  </si>
  <si>
    <t>Puppy Birthday to You! (Paw Patrol) (Little Golden Book)</t>
  </si>
  <si>
    <t>Golden Books</t>
  </si>
  <si>
    <t>Quiet: The Power of Introverts in a World That Can't Stop Talking</t>
  </si>
  <si>
    <t>Susan Cain</t>
  </si>
  <si>
    <t>Radical: Taking Back Your Faith from the American Dream</t>
  </si>
  <si>
    <t>David Platt</t>
  </si>
  <si>
    <t>Ready Player One: A Novel</t>
  </si>
  <si>
    <t>Ernest Cline</t>
  </si>
  <si>
    <t>Rush Revere and the Brave Pilgrims: Time-Travel Adventures with Exceptional Americans (1)</t>
  </si>
  <si>
    <t>Rush Limbaugh</t>
  </si>
  <si>
    <t>Rush Revere and the First Patriots: Time-Travel Adventures With Exceptional Americans (2)</t>
  </si>
  <si>
    <t>Salt, Fat, Acid, Heat: Mastering the Elements of Good Cooking</t>
  </si>
  <si>
    <t>Samin Nosrat</t>
  </si>
  <si>
    <t>Sarah's Key</t>
  </si>
  <si>
    <t>Tatiana de Rosnay</t>
  </si>
  <si>
    <t>School Zone - Big Preschool Workbook - Ages 4 and Up, Colors, Shapes, Numbers 1-10, Alphabet, Pre-Writing, Pre-Reading…</t>
  </si>
  <si>
    <t>School Zone</t>
  </si>
  <si>
    <t>Secret Garden: An Inky Treasure Hunt and Coloring Book (For Adults, mindfulness coloring)</t>
  </si>
  <si>
    <t>Sh*t My Dad Says</t>
  </si>
  <si>
    <t>Justin Halpern</t>
  </si>
  <si>
    <t>Ship of Fools: How a Selfish Ruling Class Is Bringing America to the Brink of Revolution</t>
  </si>
  <si>
    <t>Tucker Carlson</t>
  </si>
  <si>
    <t>Shred: The Revolutionary Diet: 6 Weeks 4 Inches 2 Sizes</t>
  </si>
  <si>
    <t>Ian K. Smith M.D.</t>
  </si>
  <si>
    <t>Sookie Stackhouse</t>
  </si>
  <si>
    <t>Soul Healing Miracles: Ancient and New Sacred Wisdom, Knowledge, and Practical Techniques for Healing the Spiritual…</t>
  </si>
  <si>
    <t>Steve Jobs</t>
  </si>
  <si>
    <t>Strange Planet (Strange Planet Series)</t>
  </si>
  <si>
    <t>Nathan W. Pyle</t>
  </si>
  <si>
    <t>StrengthsFinder 2.0</t>
  </si>
  <si>
    <t>Gallup</t>
  </si>
  <si>
    <t>Super Freakonomics: Global Cooling, Patriotic Prostitutes, and Why Suicide Bombers Should Buy Life Insurance</t>
  </si>
  <si>
    <t>Steven D. Levitt</t>
  </si>
  <si>
    <t>Switch: How to Change Things When Change Is Hard</t>
  </si>
  <si>
    <t>Chip Heath</t>
  </si>
  <si>
    <t>Sycamore Row (Jake Brigance)</t>
  </si>
  <si>
    <t>John Grisham</t>
  </si>
  <si>
    <t>Teach Like a Champion: 49 Techniques that Put Students on the Path to College</t>
  </si>
  <si>
    <t>Doug Lemov</t>
  </si>
  <si>
    <t>The 17 Day Diet: A Doctor's Plan Designed for Rapid Results</t>
  </si>
  <si>
    <t>Mike Moreno</t>
  </si>
  <si>
    <t>The 4 Hour Body: An Uncommon Guide to Rapid Fat Loss, Incredible Sex and Becoming Superhuman</t>
  </si>
  <si>
    <t>Timothy Ferriss</t>
  </si>
  <si>
    <t>The 5 Love Languages: The Secret to Love That Lasts</t>
  </si>
  <si>
    <t>Gary Chapman</t>
  </si>
  <si>
    <t>The 5 Love Languages: The Secret to Love that Lasts</t>
  </si>
  <si>
    <t>The 5000 Year Leap</t>
  </si>
  <si>
    <t>W. Cleon Skousen</t>
  </si>
  <si>
    <t>The 7 Habits of Highly Effective People: Powerful Lessons in Personal Change</t>
  </si>
  <si>
    <t>Stephen R. Covey</t>
  </si>
  <si>
    <t>The Alchemist</t>
  </si>
  <si>
    <t>Paulo Coelho</t>
  </si>
  <si>
    <t>The Amateur</t>
  </si>
  <si>
    <t>Edward Klein</t>
  </si>
  <si>
    <t>The Art of Racing in the Rain: A Novel</t>
  </si>
  <si>
    <t>Garth Stein</t>
  </si>
  <si>
    <t>The Big Short: Inside the Doomsday Machine</t>
  </si>
  <si>
    <t>Michael Lewis</t>
  </si>
  <si>
    <t>The Blood of Olympus (The Heroes of Olympus (5))</t>
  </si>
  <si>
    <t>The Blood Sugar Solution: The UltraHealthy Program for Losing Weight, Preventing Disease, and Feeling Great Now!</t>
  </si>
  <si>
    <t>Mark Hyman M.D.</t>
  </si>
  <si>
    <t>The Body Keeps the Score: Brain, Mind, and Body in the Healing of Trauma</t>
  </si>
  <si>
    <t>Bessel van der Kolk M.D.</t>
  </si>
  <si>
    <t>The Book of Basketball: The NBA According to The Sports Guy</t>
  </si>
  <si>
    <t>Bill Simmons</t>
  </si>
  <si>
    <t>The Book Thief</t>
  </si>
  <si>
    <t>Markus Zusak</t>
  </si>
  <si>
    <t>The Book with No Pictures</t>
  </si>
  <si>
    <t>B. J. Novak</t>
  </si>
  <si>
    <t>The Boys in the Boat: Nine Americans and Their Epic Quest for Gold at the 1936 Berlin Olympics</t>
  </si>
  <si>
    <t>Daniel James Brown</t>
  </si>
  <si>
    <t>The Casual Vacancy</t>
  </si>
  <si>
    <t>The China Study: The Most Comprehensive Study of Nutrition Ever Conducted And the Startling Implications for Diet…</t>
  </si>
  <si>
    <t>Thomas Campbell</t>
  </si>
  <si>
    <t>The Complete Ketogenic Diet for Beginners: Your Essential Guide to Living the Keto Lifestyle</t>
  </si>
  <si>
    <t>Amy Ramos</t>
  </si>
  <si>
    <t>The Confession: A Novel</t>
  </si>
  <si>
    <t>The Constitution of the United States</t>
  </si>
  <si>
    <t>Delegates of the Constitutional</t>
  </si>
  <si>
    <t>The Daily Show with Jon Stewart Presents Earth (The Book): A Visitor's Guide to the Human Race</t>
  </si>
  <si>
    <t>Jon Stewart</t>
  </si>
  <si>
    <t>The Day the Crayons Quit</t>
  </si>
  <si>
    <t>Drew Daywalt</t>
  </si>
  <si>
    <t>The Dukan Diet: 2 Steps to Lose the Weight, 2 Steps to Keep It Off Forever</t>
  </si>
  <si>
    <t>Pierre Dukan</t>
  </si>
  <si>
    <t>The Elegance of the Hedgehog</t>
  </si>
  <si>
    <t>Muriel Barbery</t>
  </si>
  <si>
    <t>The Fault in Our Stars</t>
  </si>
  <si>
    <t>The Five Dysfunctions of a Team: A Leadership Fable</t>
  </si>
  <si>
    <t>Patrick Lencioni</t>
  </si>
  <si>
    <t>The Five Love Languages: How to Express Heartfelt Commitment to Your Mate</t>
  </si>
  <si>
    <t>The Four Agreements: A Practical Guide to Personal Freedom (A Toltec Wisdom Book)</t>
  </si>
  <si>
    <t>Don Miguel Ruiz</t>
  </si>
  <si>
    <t>The Getaway</t>
  </si>
  <si>
    <t>The Girl on the Train</t>
  </si>
  <si>
    <t>Paula Hawkins</t>
  </si>
  <si>
    <t>The Girl Who Kicked the Hornet's Nest (Millennium Trilogy)</t>
  </si>
  <si>
    <t>Stieg Larsson</t>
  </si>
  <si>
    <t>The Girl Who Played with Fire (Millennium Series)</t>
  </si>
  <si>
    <t>The Girl Who Played with Fire (Millennium)</t>
  </si>
  <si>
    <t>The Girl with the Dragon Tattoo (Millennium Series)</t>
  </si>
  <si>
    <t>The Going-To-Bed Book</t>
  </si>
  <si>
    <t>Sandra Boynton</t>
  </si>
  <si>
    <t>The Goldfinch: A Novel (Pulitzer Prize for Fiction)</t>
  </si>
  <si>
    <t>Donna Tartt</t>
  </si>
  <si>
    <t>The Great Gatsby</t>
  </si>
  <si>
    <t>F. Scott Fitzgerald</t>
  </si>
  <si>
    <t>The Guardians: A Novel</t>
  </si>
  <si>
    <t>The Guernsey Literary and Potato Peel Pie Society</t>
  </si>
  <si>
    <t>Mary Ann Shaffer</t>
  </si>
  <si>
    <t>The Handmaid's Tale</t>
  </si>
  <si>
    <t>Margaret Atwood</t>
  </si>
  <si>
    <t>The Harbinger: The Ancient Mystery that Holds the Secret of America's Future</t>
  </si>
  <si>
    <t>Jonathan Cahn</t>
  </si>
  <si>
    <t>The Hate U Give</t>
  </si>
  <si>
    <t>Angie Thomas</t>
  </si>
  <si>
    <t>The Help</t>
  </si>
  <si>
    <t>Kathryn Stockett</t>
  </si>
  <si>
    <t>The House of Hades (Heroes of Olympus, Book 4)</t>
  </si>
  <si>
    <t>The Hunger Games</t>
  </si>
  <si>
    <t>The Hunger Games (Book 1)</t>
  </si>
  <si>
    <t>The Hunger Games Trilogy Boxed Set (1)</t>
  </si>
  <si>
    <t>The Immortal Life of Henrietta Lacks</t>
  </si>
  <si>
    <t>Rebecca Skloot</t>
  </si>
  <si>
    <t>The Instant Pot Electric Pressure Cooker Cookbook: Easy Recipes for Fast &amp; Healthy Meals</t>
  </si>
  <si>
    <t>Laurel Randolph</t>
  </si>
  <si>
    <t>The Last Lecture</t>
  </si>
  <si>
    <t>Randy Pausch</t>
  </si>
  <si>
    <t>The Last Olympian (Percy Jackson and the Olympians, Book 5)</t>
  </si>
  <si>
    <t>The Legend of Zelda: Hyrule Historia</t>
  </si>
  <si>
    <t>Patrick Thorpe</t>
  </si>
  <si>
    <t>The Lego Ideas Book: Unlock Your Imagination</t>
  </si>
  <si>
    <t>Daniel Lipkowitz</t>
  </si>
  <si>
    <t>The Life-Changing Magic of Tidying Up: The Japanese Art of Decluttering and Organizing</t>
  </si>
  <si>
    <t>Marie Kondō</t>
  </si>
  <si>
    <t>The Litigators</t>
  </si>
  <si>
    <t>The Lost Hero (Heroes of Olympus, Book 1)</t>
  </si>
  <si>
    <t>The Lost Symbol</t>
  </si>
  <si>
    <t>The Love Dare</t>
  </si>
  <si>
    <t>Stephen Kendrick</t>
  </si>
  <si>
    <t>The Magnolia Story</t>
  </si>
  <si>
    <t>Chip Gaines</t>
  </si>
  <si>
    <t>The Mark of Athena (Heroes of Olympus, Book 3)</t>
  </si>
  <si>
    <t>The Martian</t>
  </si>
  <si>
    <t>Andy Weir</t>
  </si>
  <si>
    <t>The Maze Runner (Book 1)</t>
  </si>
  <si>
    <t>James Dashner</t>
  </si>
  <si>
    <t>The Meltdown (Diary of a Wimpy Kid Book 13)</t>
  </si>
  <si>
    <t>The Mueller Report</t>
  </si>
  <si>
    <t>The Washington Post</t>
  </si>
  <si>
    <t>The Nightingale: A Novel</t>
  </si>
  <si>
    <t>Kristin Hannah</t>
  </si>
  <si>
    <t>The Official SAT Study Guide</t>
  </si>
  <si>
    <t>The College Board</t>
  </si>
  <si>
    <t>The Official SAT Study Guide, 2016 Edition (Official Study Guide for the New Sat)</t>
  </si>
  <si>
    <t>The Paris Wife: A Novel</t>
  </si>
  <si>
    <t>Paula McLain</t>
  </si>
  <si>
    <t>The Pioneer Woman Cooks: A Year of Holidays: 140 Step-by-Step Recipes for Simple, Scrumptious Celebrations</t>
  </si>
  <si>
    <t>Ree Drummond</t>
  </si>
  <si>
    <t>The Pioneer Woman Cooks: Dinnertime - Comfort Classics, Freezer Food, 16-minute Meals, and Other Delicious Ways to Solve…</t>
  </si>
  <si>
    <t>The Pioneer Woman Cooks: Food from My Frontier</t>
  </si>
  <si>
    <t>The Plant Paradox Cookbook: 100 Delicious Recipes to Help You Lose Weight, Heal Your Gut, and Live Lectin-Free</t>
  </si>
  <si>
    <t>Dr. Steven R Gundry MD</t>
  </si>
  <si>
    <t>The Plant Paradox: The Hidden Dangers in "Healthy" Foods That Cause Disease and Weight Gain</t>
  </si>
  <si>
    <t>The Pout-Pout Fish</t>
  </si>
  <si>
    <t>Deborah Diesen</t>
  </si>
  <si>
    <t>The Power of Habit: Why We Do What We Do in Life and Business</t>
  </si>
  <si>
    <t>Charles Duhigg</t>
  </si>
  <si>
    <t>The President Is Missing: A Novel</t>
  </si>
  <si>
    <t>The Racketeer</t>
  </si>
  <si>
    <t>The Red Pyramid (The Kane Chronicles, Book 1)</t>
  </si>
  <si>
    <t>The Road to Serfdom: Text and Documents--The Definitive Edition (The Collected Works of F. A. Hayek, Volume 2)</t>
  </si>
  <si>
    <t>F. A. Hayek</t>
  </si>
  <si>
    <t>The Serpent's Shadow (The Kane Chronicles, Book 3)</t>
  </si>
  <si>
    <t>The Shack: Where Tragedy Confronts Eternity</t>
  </si>
  <si>
    <t>William P. Young</t>
  </si>
  <si>
    <t>The Short Second Life of Bree Tanner: An Eclipse Novella (The Twilight Saga)</t>
  </si>
  <si>
    <t>The Silent Patient</t>
  </si>
  <si>
    <t>Alex Michaelides</t>
  </si>
  <si>
    <t>The Son of Neptune (Heroes of Olympus, Book 2)</t>
  </si>
  <si>
    <t>The Subtle Art of Not Giving a F*ck: A Counterintuitive Approach to Living a Good Life</t>
  </si>
  <si>
    <t>Mark Manson</t>
  </si>
  <si>
    <t>The Sun and Her Flowers</t>
  </si>
  <si>
    <t>The Third Wheel (Diary of a Wimpy Kid, Book 7)</t>
  </si>
  <si>
    <t>The Throne of Fire (The Kane Chronicles, Book 2)</t>
  </si>
  <si>
    <t>The Time Traveler's Wife</t>
  </si>
  <si>
    <t>Audrey Niffenegger</t>
  </si>
  <si>
    <t>The Tipping Point: How Little Things Can Make a Big Difference</t>
  </si>
  <si>
    <t>The Total Money Makeover: Classic Edition: A Proven Plan for Financial Fitness</t>
  </si>
  <si>
    <t>Dave Ramsey</t>
  </si>
  <si>
    <t>The Twilight Saga Collection</t>
  </si>
  <si>
    <t>The Ugly Truth (Diary of a Wimpy Kid, Book 5)</t>
  </si>
  <si>
    <t>The Unofficial Harry Potter Cookbook: From Cauldron Cakes to Knickerbocker Glory--More Than 150 Magical Recipes for…</t>
  </si>
  <si>
    <t>Dinah Bucholz</t>
  </si>
  <si>
    <t>The Very Hungry Caterpillar</t>
  </si>
  <si>
    <t>Eric Carle</t>
  </si>
  <si>
    <t>The Whole30: The 30-Day Guide to Total Health and Food Freedom</t>
  </si>
  <si>
    <t>Melissa Hartwig Urban</t>
  </si>
  <si>
    <t>The Wonderful Things You Will Be</t>
  </si>
  <si>
    <t>Emily Winfield Martin</t>
  </si>
  <si>
    <t>The Wonky Donkey</t>
  </si>
  <si>
    <t>Craig Smith</t>
  </si>
  <si>
    <t>The Wright Brothers</t>
  </si>
  <si>
    <t>David McCullough</t>
  </si>
  <si>
    <t>Things That Matter: Three Decades of Passions, Pastimes and Politics [Deckled Edge]</t>
  </si>
  <si>
    <t>Charles Krauthammer</t>
  </si>
  <si>
    <t>Thinking, Fast and Slow</t>
  </si>
  <si>
    <t>Daniel Kahneman</t>
  </si>
  <si>
    <t>Thirteen Reasons Why</t>
  </si>
  <si>
    <t>Jay Asher</t>
  </si>
  <si>
    <t>Thomas Jefferson: The Art of Power</t>
  </si>
  <si>
    <t>Jon Meacham</t>
  </si>
  <si>
    <t>Three Cups of Tea: One Man's Mission to Promote Peace - One School at a Time</t>
  </si>
  <si>
    <t>Greg Mortenson</t>
  </si>
  <si>
    <t>Thug Kitchen: The Official Cookbook: Eat Like You Give a F*ck (Thug Kitchen Cookbooks)</t>
  </si>
  <si>
    <t>Thug Kitchen</t>
  </si>
  <si>
    <t>Tina Fey: Bossypants</t>
  </si>
  <si>
    <t>Tina Fey</t>
  </si>
  <si>
    <t>To Kill a Mockingbird</t>
  </si>
  <si>
    <t>Tools of Titans: The Tactics, Routines, and Habits of Billionaires, Icons, and World-Class Performers</t>
  </si>
  <si>
    <t>Towers of Midnight (Wheel of Time, Book Thirteen)</t>
  </si>
  <si>
    <t>Robert Jordan</t>
  </si>
  <si>
    <t>True Compass: A Memoir</t>
  </si>
  <si>
    <t>Edward M. Kennedy</t>
  </si>
  <si>
    <t>Twilight (The Twilight Saga, Book 1)</t>
  </si>
  <si>
    <t>Ultimate Sticker Book: Frozen: More Than 60 Reusable Full-Color Stickers</t>
  </si>
  <si>
    <t>Unbroken: A World War II Story of Survival, Resilience, and Redemption</t>
  </si>
  <si>
    <t>Laura Hillenbrand</t>
  </si>
  <si>
    <t>Under the Dome: A Novel</t>
  </si>
  <si>
    <t>Unfreedom of the Press</t>
  </si>
  <si>
    <t>Unicorn Coloring Book: For Kids Ages 4-8 (US Edition) (Silly Bear Coloring Books)</t>
  </si>
  <si>
    <t>Silly Bear</t>
  </si>
  <si>
    <t>Uninvited: Living Loved When You Feel Less Than, Left Out, and Lonely</t>
  </si>
  <si>
    <t>Watchmen</t>
  </si>
  <si>
    <t>Alan Moore</t>
  </si>
  <si>
    <t>Water for Elephants: A Novel</t>
  </si>
  <si>
    <t>Sara Gruen</t>
  </si>
  <si>
    <t>What Happened</t>
  </si>
  <si>
    <t>Hillary Rodham Clinton</t>
  </si>
  <si>
    <t>What If?: Serious Scientific Answers to Absurd Hypothetical Questions</t>
  </si>
  <si>
    <t>Randall Munroe</t>
  </si>
  <si>
    <t>What Pet Should I Get? (Classic Seuss)</t>
  </si>
  <si>
    <t>What Should Danny Do? (The Power to Choose Series)</t>
  </si>
  <si>
    <t>Adir Levy</t>
  </si>
  <si>
    <t>What to Expect When You're Expecting</t>
  </si>
  <si>
    <t>Heidi Murkoff</t>
  </si>
  <si>
    <t>Wheat Belly: Lose the Wheat, Lose the Weight, and Find Your Path Back to Health</t>
  </si>
  <si>
    <t>William Davis</t>
  </si>
  <si>
    <t>When Breath Becomes Air</t>
  </si>
  <si>
    <t>Paul Kalanithi</t>
  </si>
  <si>
    <t>Where the Crawdads Sing</t>
  </si>
  <si>
    <t>Delia Owens</t>
  </si>
  <si>
    <t>Where the Wild Things Are</t>
  </si>
  <si>
    <t>Maurice Sendak</t>
  </si>
  <si>
    <t>Whose Boat Is This Boat?: Comments That Don't Help in the Aftermath of a Hurricane</t>
  </si>
  <si>
    <t>The Staff of The Late Show with</t>
  </si>
  <si>
    <t>Wild: From Lost to Found on the Pacific Crest Trail</t>
  </si>
  <si>
    <t>Cheryl Strayed</t>
  </si>
  <si>
    <t>Winter of the World: Book Two of the Century Trilogy</t>
  </si>
  <si>
    <t>Ken Follett</t>
  </si>
  <si>
    <t>Women Food and God: An Unexpected Path to Almost Everything</t>
  </si>
  <si>
    <t>Geneen Roth</t>
  </si>
  <si>
    <t>Wonder</t>
  </si>
  <si>
    <t>R. J. Palacio</t>
  </si>
  <si>
    <t>Wrecking Ball (Diary of a Wimpy Kid Book 14)</t>
  </si>
  <si>
    <t>You Are a Badass: How to Stop Doubting Your Greatness and Start Living an Awesome Life</t>
  </si>
  <si>
    <t>Jen Sincero</t>
  </si>
  <si>
    <t>Sub-total of each book sold</t>
  </si>
  <si>
    <t>Times purchases made</t>
  </si>
  <si>
    <t>No of unique prices</t>
  </si>
  <si>
    <t>In column C we have determined the number of times each book is purchased using the COUNTIFS function</t>
  </si>
  <si>
    <t>Grand Total</t>
  </si>
  <si>
    <t>Quantities Sold</t>
  </si>
  <si>
    <t>Total Amt Sold</t>
  </si>
  <si>
    <t>In column D we have determined all the different rates of the prices of books ranging from 0 to 105, although 0 cannot be considered a price. We calculated this using the COUNTUNIQUE function. We have 40 different rates.</t>
  </si>
  <si>
    <t>Fiction vs Non-fiction sale in a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</si>
</sst>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quot;$&quot;#,##0.00"/>
  </numFmts>
  <fonts count="15" x14ac:knownFonts="1">
    <font>
      <sz val="11"/>
      <color rgb="FF000000"/>
      <name val="Calibri"/>
      <scheme val="minor"/>
    </font>
    <font>
      <b/>
      <sz val="12"/>
      <color rgb="FFFFFFFF"/>
      <name val="Calibri"/>
      <scheme val="minor"/>
    </font>
    <font>
      <sz val="11"/>
      <color theme="1"/>
      <name val="Calibri"/>
      <scheme val="minor"/>
    </font>
    <font>
      <sz val="9"/>
      <color rgb="FFFFFFFF"/>
      <name val="Calibri"/>
      <scheme val="minor"/>
    </font>
    <font>
      <sz val="10"/>
      <color theme="1"/>
      <name val="EB Garamond"/>
    </font>
    <font>
      <sz val="11"/>
      <color theme="1"/>
      <name val="Georgia"/>
      <family val="1"/>
    </font>
    <font>
      <sz val="11"/>
      <name val="Georgia"/>
      <family val="1"/>
    </font>
    <font>
      <sz val="11"/>
      <color rgb="FF000000"/>
      <name val="Georgia"/>
      <family val="1"/>
    </font>
    <font>
      <b/>
      <sz val="11"/>
      <color rgb="FF000000"/>
      <name val="Calibri"/>
      <family val="2"/>
      <scheme val="minor"/>
    </font>
    <font>
      <sz val="12"/>
      <color theme="1"/>
      <name val="Garamond"/>
      <family val="1"/>
    </font>
    <font>
      <sz val="11"/>
      <name val="Garamond"/>
      <family val="1"/>
    </font>
    <font>
      <sz val="11"/>
      <color rgb="FF000000"/>
      <name val="Garamond"/>
      <family val="1"/>
    </font>
    <font>
      <sz val="11"/>
      <color theme="1"/>
      <name val="Times New Roman"/>
      <family val="1"/>
    </font>
    <font>
      <sz val="11"/>
      <name val="Times New Roman"/>
      <family val="1"/>
    </font>
    <font>
      <sz val="11"/>
      <color rgb="FF000000"/>
      <name val="Times New Roman"/>
      <family val="1"/>
    </font>
  </fonts>
  <fills count="4">
    <fill>
      <patternFill patternType="none"/>
    </fill>
    <fill>
      <patternFill patternType="gray125"/>
    </fill>
    <fill>
      <patternFill patternType="solid">
        <fgColor rgb="FF38761D"/>
        <bgColor rgb="FF38761D"/>
      </patternFill>
    </fill>
    <fill>
      <patternFill patternType="solid">
        <fgColor rgb="FF666666"/>
        <bgColor rgb="FF666666"/>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0">
    <xf numFmtId="0" fontId="0" fillId="0" borderId="0" xfId="0"/>
    <xf numFmtId="0" fontId="1" fillId="2" borderId="1" xfId="0" applyFont="1" applyFill="1" applyBorder="1" applyAlignment="1">
      <alignment horizontal="center"/>
    </xf>
    <xf numFmtId="0" fontId="2" fillId="0" borderId="0" xfId="0" applyFont="1"/>
    <xf numFmtId="0" fontId="2" fillId="0" borderId="1" xfId="0" applyFont="1" applyBorder="1"/>
    <xf numFmtId="164" fontId="2" fillId="0" borderId="1" xfId="0" applyNumberFormat="1" applyFont="1" applyBorder="1"/>
    <xf numFmtId="0" fontId="3" fillId="3" borderId="0" xfId="0" applyFont="1" applyFill="1" applyAlignment="1">
      <alignment vertical="center"/>
    </xf>
    <xf numFmtId="0" fontId="0" fillId="0" borderId="10" xfId="0" pivotButton="1" applyBorder="1"/>
    <xf numFmtId="0" fontId="0" fillId="0" borderId="11" xfId="0" applyBorder="1"/>
    <xf numFmtId="0" fontId="0" fillId="0" borderId="10" xfId="0" applyBorder="1"/>
    <xf numFmtId="0" fontId="0" fillId="0" borderId="12" xfId="0" applyBorder="1"/>
    <xf numFmtId="0" fontId="0" fillId="0" borderId="14" xfId="0" applyBorder="1"/>
    <xf numFmtId="0" fontId="8" fillId="0" borderId="10" xfId="0" pivotButton="1" applyFont="1" applyBorder="1" applyAlignment="1">
      <alignment horizontal="center"/>
    </xf>
    <xf numFmtId="0" fontId="8" fillId="0" borderId="11" xfId="0" applyFont="1" applyBorder="1" applyAlignment="1">
      <alignment horizontal="center"/>
    </xf>
    <xf numFmtId="0" fontId="0" fillId="0" borderId="0" xfId="0" pivotButton="1"/>
    <xf numFmtId="0" fontId="0" fillId="0" borderId="0" xfId="0" applyAlignment="1">
      <alignment horizontal="left"/>
    </xf>
    <xf numFmtId="0" fontId="0" fillId="0" borderId="0" xfId="0" applyAlignment="1">
      <alignment horizontal="center"/>
    </xf>
    <xf numFmtId="0" fontId="0" fillId="0" borderId="0" xfId="0" pivotButton="1" applyAlignment="1">
      <alignment horizontal="center"/>
    </xf>
    <xf numFmtId="0" fontId="0" fillId="0" borderId="0" xfId="0" pivotButton="1" applyAlignment="1">
      <alignment horizontal="left"/>
    </xf>
    <xf numFmtId="165" fontId="0" fillId="0" borderId="0" xfId="0" applyNumberFormat="1"/>
    <xf numFmtId="0" fontId="5" fillId="0" borderId="2" xfId="0" applyFont="1" applyBorder="1" applyAlignment="1">
      <alignment wrapText="1"/>
    </xf>
    <xf numFmtId="0" fontId="6" fillId="0" borderId="3" xfId="0" applyFont="1" applyBorder="1"/>
    <xf numFmtId="0" fontId="6" fillId="0" borderId="4" xfId="0" applyFont="1" applyBorder="1"/>
    <xf numFmtId="0" fontId="6" fillId="0" borderId="5" xfId="0" applyFont="1" applyBorder="1"/>
    <xf numFmtId="0" fontId="7" fillId="0" borderId="0" xfId="0" applyFont="1"/>
    <xf numFmtId="0" fontId="6" fillId="0" borderId="6" xfId="0" applyFont="1" applyBorder="1"/>
    <xf numFmtId="0" fontId="6" fillId="0" borderId="7" xfId="0" applyFont="1" applyBorder="1"/>
    <xf numFmtId="0" fontId="6" fillId="0" borderId="8" xfId="0" applyFont="1" applyBorder="1"/>
    <xf numFmtId="0" fontId="6" fillId="0" borderId="9" xfId="0" applyFont="1" applyBorder="1"/>
    <xf numFmtId="0" fontId="4" fillId="0" borderId="16" xfId="0" applyFont="1" applyBorder="1" applyAlignment="1">
      <alignment wrapText="1"/>
    </xf>
    <xf numFmtId="0" fontId="9" fillId="0" borderId="2" xfId="0" applyFont="1" applyBorder="1" applyAlignment="1">
      <alignment vertical="center" wrapText="1"/>
    </xf>
    <xf numFmtId="0" fontId="10" fillId="0" borderId="3" xfId="0" applyFont="1" applyBorder="1"/>
    <xf numFmtId="0" fontId="10" fillId="0" borderId="4" xfId="0" applyFont="1" applyBorder="1"/>
    <xf numFmtId="0" fontId="10" fillId="0" borderId="5" xfId="0" applyFont="1" applyBorder="1"/>
    <xf numFmtId="0" fontId="11" fillId="0" borderId="0" xfId="0" applyFont="1"/>
    <xf numFmtId="0" fontId="10" fillId="0" borderId="6" xfId="0" applyFont="1" applyBorder="1"/>
    <xf numFmtId="0" fontId="10" fillId="0" borderId="7" xfId="0" applyFont="1" applyBorder="1"/>
    <xf numFmtId="0" fontId="10" fillId="0" borderId="8" xfId="0" applyFont="1" applyBorder="1"/>
    <xf numFmtId="0" fontId="10" fillId="0" borderId="9" xfId="0" applyFont="1" applyBorder="1"/>
    <xf numFmtId="0" fontId="12" fillId="0" borderId="2" xfId="0" applyFont="1" applyBorder="1" applyAlignment="1">
      <alignment vertical="center" wrapText="1"/>
    </xf>
    <xf numFmtId="0" fontId="13" fillId="0" borderId="3" xfId="0" applyFont="1" applyBorder="1" applyAlignment="1">
      <alignment vertical="center"/>
    </xf>
    <xf numFmtId="0" fontId="13" fillId="0" borderId="4" xfId="0" applyFont="1" applyBorder="1" applyAlignment="1">
      <alignment vertical="center"/>
    </xf>
    <xf numFmtId="0" fontId="13" fillId="0" borderId="5" xfId="0" applyFont="1" applyBorder="1" applyAlignment="1">
      <alignment vertical="center"/>
    </xf>
    <xf numFmtId="0" fontId="14" fillId="0" borderId="0" xfId="0" applyFont="1" applyAlignment="1">
      <alignment vertical="center"/>
    </xf>
    <xf numFmtId="0" fontId="13" fillId="0" borderId="6" xfId="0" applyFont="1" applyBorder="1" applyAlignment="1">
      <alignment vertical="center"/>
    </xf>
    <xf numFmtId="0" fontId="13" fillId="0" borderId="7" xfId="0" applyFont="1" applyBorder="1" applyAlignment="1">
      <alignment vertical="center"/>
    </xf>
    <xf numFmtId="0" fontId="13" fillId="0" borderId="8" xfId="0" applyFont="1" applyBorder="1" applyAlignment="1">
      <alignment vertical="center"/>
    </xf>
    <xf numFmtId="0" fontId="13" fillId="0" borderId="9" xfId="0" applyFont="1" applyBorder="1" applyAlignment="1">
      <alignment vertical="center"/>
    </xf>
    <xf numFmtId="0" fontId="0" fillId="0" borderId="11" xfId="0" applyNumberFormat="1" applyBorder="1"/>
    <xf numFmtId="0" fontId="0" fillId="0" borderId="13" xfId="0" applyNumberFormat="1" applyBorder="1"/>
    <xf numFmtId="0" fontId="0" fillId="0" borderId="15" xfId="0" applyNumberFormat="1" applyBorder="1"/>
  </cellXfs>
  <cellStyles count="1">
    <cellStyle name="Normal" xfId="0" builtinId="0"/>
  </cellStyles>
  <dxfs count="44">
    <dxf>
      <alignment horizontal="center"/>
    </dxf>
    <dxf>
      <alignment horizontal="center"/>
    </dxf>
    <dxf>
      <alignment horizontal="left"/>
    </dxf>
    <dxf>
      <numFmt numFmtId="165" formatCode="&quot;$&quot;#,##0.00"/>
    </dxf>
    <dxf>
      <numFmt numFmtId="165" formatCode="&quot;$&quot;#,##0.00"/>
    </dxf>
    <dxf>
      <numFmt numFmtId="165" formatCode="&quot;$&quot;#,##0.00"/>
    </dxf>
    <dxf>
      <alignment horizontal="center"/>
    </dxf>
    <dxf>
      <alignment horizontal="center"/>
    </dxf>
    <dxf>
      <alignment horizontal="left"/>
    </dxf>
    <dxf>
      <numFmt numFmtId="165" formatCode="&quot;$&quot;#,##0.00"/>
    </dxf>
    <dxf>
      <numFmt numFmtId="165" formatCode="&quot;$&quot;#,##0.00"/>
    </dxf>
    <dxf>
      <numFmt numFmtId="165" formatCode="&quot;$&quot;#,##0.00"/>
    </dxf>
    <dxf>
      <alignment horizontal="center"/>
    </dxf>
    <dxf>
      <alignment horizontal="center"/>
    </dxf>
    <dxf>
      <alignment horizontal="left"/>
    </dxf>
    <dxf>
      <numFmt numFmtId="165" formatCode="&quot;$&quot;#,##0.00"/>
    </dxf>
    <dxf>
      <numFmt numFmtId="165" formatCode="&quot;$&quot;#,##0.00"/>
    </dxf>
    <dxf>
      <numFmt numFmtId="165" formatCode="&quot;$&quot;#,##0.00"/>
    </dxf>
    <dxf>
      <alignment horizontal="center"/>
    </dxf>
    <dxf>
      <alignment horizontal="center"/>
    </dxf>
    <dxf>
      <alignment horizontal="left"/>
    </dxf>
    <dxf>
      <numFmt numFmtId="165" formatCode="&quot;$&quot;#,##0.00"/>
    </dxf>
    <dxf>
      <numFmt numFmtId="165" formatCode="&quot;$&quot;#,##0.00"/>
    </dxf>
    <dxf>
      <numFmt numFmtId="165" formatCode="&quot;$&quot;#,##0.00"/>
    </dxf>
    <dxf>
      <alignment horizontal="center"/>
    </dxf>
    <dxf>
      <alignment horizontal="center"/>
    </dxf>
    <dxf>
      <alignment horizontal="left"/>
    </dxf>
    <dxf>
      <numFmt numFmtId="165" formatCode="&quot;$&quot;#,##0.00"/>
    </dxf>
    <dxf>
      <numFmt numFmtId="165" formatCode="&quot;$&quot;#,##0.00"/>
    </dxf>
    <dxf>
      <numFmt numFmtId="165" formatCode="&quot;$&quot;#,##0.00"/>
    </dxf>
    <dxf>
      <alignment horizontal="center"/>
    </dxf>
    <dxf>
      <font>
        <b/>
        <family val="2"/>
      </font>
    </dxf>
    <dxf>
      <alignment horizontal="center"/>
    </dxf>
    <dxf>
      <font>
        <b/>
        <family val="2"/>
      </font>
    </dxf>
    <dxf>
      <numFmt numFmtId="165" formatCode="&quot;$&quot;#,##0.00"/>
    </dxf>
    <dxf>
      <numFmt numFmtId="165" formatCode="&quot;$&quot;#,##0.00"/>
    </dxf>
    <dxf>
      <numFmt numFmtId="165" formatCode="&quot;$&quot;#,##0.00"/>
    </dxf>
    <dxf>
      <alignment horizontal="left"/>
    </dxf>
    <dxf>
      <alignment horizontal="center"/>
    </dxf>
    <dxf>
      <alignment horizontal="center"/>
    </dxf>
    <dxf>
      <font>
        <b/>
        <family val="2"/>
      </font>
    </dxf>
    <dxf>
      <alignment horizontal="center"/>
    </dxf>
    <dxf>
      <font>
        <b/>
        <family val="2"/>
      </font>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IN" b="0">
                <a:solidFill>
                  <a:srgbClr val="757575"/>
                </a:solidFill>
                <a:latin typeface="+mn-lt"/>
              </a:rPr>
              <a:t>Sale per Genre</a:t>
            </a:r>
          </a:p>
        </c:rich>
      </c:tx>
      <c:overlay val="0"/>
    </c:title>
    <c:autoTitleDeleted val="0"/>
    <c:plotArea>
      <c:layout/>
      <c:barChart>
        <c:barDir val="bar"/>
        <c:grouping val="clustered"/>
        <c:varyColors val="1"/>
        <c:ser>
          <c:idx val="0"/>
          <c:order val="0"/>
          <c:spPr>
            <a:solidFill>
              <a:srgbClr val="4F81BD"/>
            </a:solidFill>
            <a:ln cmpd="sng">
              <a:solidFill>
                <a:srgbClr val="000000"/>
              </a:solidFill>
            </a:ln>
          </c:spPr>
          <c:invertIfNegative val="1"/>
          <c:dLbls>
            <c:spPr>
              <a:noFill/>
              <a:ln>
                <a:noFill/>
              </a:ln>
              <a:effectLst/>
            </c:spPr>
            <c:txPr>
              <a:bodyPr/>
              <a:lstStyle/>
              <a:p>
                <a:pPr lvl="0">
                  <a:defRPr>
                    <a:latin typeface="Garamond"/>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 2'!$A$2:$A$3</c:f>
              <c:strCache>
                <c:ptCount val="2"/>
                <c:pt idx="0">
                  <c:v>Fiction</c:v>
                </c:pt>
                <c:pt idx="1">
                  <c:v>Non Fiction</c:v>
                </c:pt>
              </c:strCache>
            </c:strRef>
          </c:cat>
          <c:val>
            <c:numRef>
              <c:f>'Pivot Table 2'!$B$2:$B$3</c:f>
              <c:numCache>
                <c:formatCode>General</c:formatCode>
                <c:ptCount val="2"/>
                <c:pt idx="0">
                  <c:v>240</c:v>
                </c:pt>
                <c:pt idx="1">
                  <c:v>310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B03-4E66-861D-ADDCD2A8ADB1}"/>
            </c:ext>
          </c:extLst>
        </c:ser>
        <c:dLbls>
          <c:showLegendKey val="0"/>
          <c:showVal val="0"/>
          <c:showCatName val="0"/>
          <c:showSerName val="0"/>
          <c:showPercent val="0"/>
          <c:showBubbleSize val="0"/>
        </c:dLbls>
        <c:gapWidth val="150"/>
        <c:axId val="782691034"/>
        <c:axId val="1815492222"/>
      </c:barChart>
      <c:catAx>
        <c:axId val="782691034"/>
        <c:scaling>
          <c:orientation val="maxMin"/>
        </c:scaling>
        <c:delete val="0"/>
        <c:axPos val="l"/>
        <c:title>
          <c:tx>
            <c:rich>
              <a:bodyPr/>
              <a:lstStyle/>
              <a:p>
                <a:pPr lvl="0">
                  <a:defRPr sz="1400" b="1">
                    <a:solidFill>
                      <a:srgbClr val="000000"/>
                    </a:solidFill>
                    <a:latin typeface="+mn-lt"/>
                  </a:defRPr>
                </a:pPr>
                <a:r>
                  <a:rPr lang="en-IN" sz="1400" b="1">
                    <a:solidFill>
                      <a:srgbClr val="000000"/>
                    </a:solidFill>
                    <a:latin typeface="+mn-lt"/>
                  </a:rPr>
                  <a:t>Genre</a:t>
                </a:r>
              </a:p>
            </c:rich>
          </c:tx>
          <c:overlay val="0"/>
        </c:title>
        <c:numFmt formatCode="General" sourceLinked="1"/>
        <c:majorTickMark val="out"/>
        <c:minorTickMark val="none"/>
        <c:tickLblPos val="nextTo"/>
        <c:txPr>
          <a:bodyPr/>
          <a:lstStyle/>
          <a:p>
            <a:pPr lvl="0">
              <a:defRPr b="0">
                <a:solidFill>
                  <a:srgbClr val="000000"/>
                </a:solidFill>
                <a:latin typeface="+mn-lt"/>
              </a:defRPr>
            </a:pPr>
            <a:endParaRPr lang="en-US"/>
          </a:p>
        </c:txPr>
        <c:crossAx val="1815492222"/>
        <c:crosses val="autoZero"/>
        <c:auto val="1"/>
        <c:lblAlgn val="ctr"/>
        <c:lblOffset val="100"/>
        <c:noMultiLvlLbl val="1"/>
      </c:catAx>
      <c:valAx>
        <c:axId val="181549222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sz="1600" b="1">
                    <a:solidFill>
                      <a:srgbClr val="000000"/>
                    </a:solidFill>
                    <a:latin typeface="+mn-lt"/>
                  </a:defRPr>
                </a:pPr>
                <a:r>
                  <a:rPr lang="en-IN" sz="1600" b="1">
                    <a:solidFill>
                      <a:srgbClr val="000000"/>
                    </a:solidFill>
                    <a:latin typeface="+mn-lt"/>
                  </a:rPr>
                  <a:t>Quantities sold</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mn-lt"/>
              </a:defRPr>
            </a:pPr>
            <a:endParaRPr lang="en-US"/>
          </a:p>
        </c:txPr>
        <c:crossAx val="782691034"/>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CC4125"/>
                </a:solidFill>
                <a:latin typeface="+mn-lt"/>
              </a:defRPr>
            </a:pPr>
            <a:r>
              <a:rPr lang="en-IN" b="0">
                <a:solidFill>
                  <a:srgbClr val="CC4125"/>
                </a:solidFill>
                <a:latin typeface="+mn-lt"/>
              </a:rPr>
              <a:t>Fiction vs Non-fiction</a:t>
            </a:r>
          </a:p>
        </c:rich>
      </c:tx>
      <c:overlay val="0"/>
    </c:title>
    <c:autoTitleDeleted val="0"/>
    <c:plotArea>
      <c:layout/>
      <c:barChart>
        <c:barDir val="col"/>
        <c:grouping val="stacked"/>
        <c:varyColors val="1"/>
        <c:ser>
          <c:idx val="0"/>
          <c:order val="0"/>
          <c:tx>
            <c:strRef>
              <c:f>'Pivot Table 2'!$I$2</c:f>
              <c:strCache>
                <c:ptCount val="1"/>
                <c:pt idx="0">
                  <c:v>Total Amt Sold</c:v>
                </c:pt>
              </c:strCache>
            </c:strRef>
          </c:tx>
          <c:spPr>
            <a:solidFill>
              <a:srgbClr val="4F81BD"/>
            </a:solidFill>
            <a:ln cmpd="sng">
              <a:solidFill>
                <a:srgbClr val="000000"/>
              </a:solidFill>
            </a:ln>
          </c:spPr>
          <c:invertIfNegative val="1"/>
          <c:dPt>
            <c:idx val="0"/>
            <c:invertIfNegative val="1"/>
            <c:bubble3D val="0"/>
            <c:extLst>
              <c:ext xmlns:c16="http://schemas.microsoft.com/office/drawing/2014/chart" uri="{C3380CC4-5D6E-409C-BE32-E72D297353CC}">
                <c16:uniqueId val="{00000000-8DD2-48E3-96AE-45DA652A0B05}"/>
              </c:ext>
            </c:extLst>
          </c:dPt>
          <c:cat>
            <c:strRef>
              <c:f>'Pivot Table 2'!$H$3:$H$4</c:f>
              <c:strCache>
                <c:ptCount val="2"/>
                <c:pt idx="0">
                  <c:v>Fiction</c:v>
                </c:pt>
                <c:pt idx="1">
                  <c:v>Non Fiction</c:v>
                </c:pt>
              </c:strCache>
            </c:strRef>
          </c:cat>
          <c:val>
            <c:numRef>
              <c:f>'Pivot Table 2'!$I$3:$I$4</c:f>
              <c:numCache>
                <c:formatCode>General</c:formatCode>
                <c:ptCount val="2"/>
                <c:pt idx="0">
                  <c:v>3093</c:v>
                </c:pt>
                <c:pt idx="1">
                  <c:v>4112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8DD2-48E3-96AE-45DA652A0B05}"/>
            </c:ext>
          </c:extLst>
        </c:ser>
        <c:dLbls>
          <c:showLegendKey val="0"/>
          <c:showVal val="0"/>
          <c:showCatName val="0"/>
          <c:showSerName val="0"/>
          <c:showPercent val="0"/>
          <c:showBubbleSize val="0"/>
        </c:dLbls>
        <c:gapWidth val="150"/>
        <c:overlap val="100"/>
        <c:axId val="1341827513"/>
        <c:axId val="1341451202"/>
      </c:barChart>
      <c:catAx>
        <c:axId val="1341827513"/>
        <c:scaling>
          <c:orientation val="minMax"/>
        </c:scaling>
        <c:delete val="0"/>
        <c:axPos val="b"/>
        <c:title>
          <c:tx>
            <c:rich>
              <a:bodyPr/>
              <a:lstStyle/>
              <a:p>
                <a:pPr lvl="0">
                  <a:defRPr b="0">
                    <a:solidFill>
                      <a:srgbClr val="000000"/>
                    </a:solidFill>
                    <a:latin typeface="+mn-lt"/>
                  </a:defRPr>
                </a:pPr>
                <a:r>
                  <a:rPr lang="en-IN" b="0">
                    <a:solidFill>
                      <a:srgbClr val="000000"/>
                    </a:solidFill>
                    <a:latin typeface="+mn-lt"/>
                  </a:rPr>
                  <a:t>Genre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341451202"/>
        <c:crosses val="autoZero"/>
        <c:auto val="1"/>
        <c:lblAlgn val="ctr"/>
        <c:lblOffset val="100"/>
        <c:noMultiLvlLbl val="1"/>
      </c:catAx>
      <c:valAx>
        <c:axId val="134145120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IN" b="0">
                    <a:solidFill>
                      <a:srgbClr val="000000"/>
                    </a:solidFill>
                    <a:latin typeface="+mn-lt"/>
                  </a:rPr>
                  <a:t>Total Amt Sold</a:t>
                </a:r>
              </a:p>
            </c:rich>
          </c:tx>
          <c:overlay val="0"/>
        </c:title>
        <c:numFmt formatCode="General" sourceLinked="1"/>
        <c:majorTickMark val="cross"/>
        <c:minorTickMark val="none"/>
        <c:tickLblPos val="nextTo"/>
        <c:spPr>
          <a:ln/>
        </c:spPr>
        <c:txPr>
          <a:bodyPr/>
          <a:lstStyle/>
          <a:p>
            <a:pPr lvl="0">
              <a:defRPr b="0">
                <a:solidFill>
                  <a:srgbClr val="000000"/>
                </a:solidFill>
                <a:latin typeface="+mn-lt"/>
              </a:defRPr>
            </a:pPr>
            <a:endParaRPr lang="en-US"/>
          </a:p>
        </c:txPr>
        <c:crossAx val="1341827513"/>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[working_with_spreadsheet_1.0.xlsx]Pivot Table 3!PivotTable1</c:name>
    <c:fmtId val="2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3'!$B$3:$B$4</c:f>
              <c:strCache>
                <c:ptCount val="1"/>
                <c:pt idx="0">
                  <c:v>Fiction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3'!$A$5:$A$16</c:f>
              <c:strCache>
                <c:ptCount val="11"/>
                <c:pt idx="0">
                  <c:v>2009</c:v>
                </c:pt>
                <c:pt idx="1">
                  <c:v>2010</c:v>
                </c:pt>
                <c:pt idx="2">
                  <c:v>2011</c:v>
                </c:pt>
                <c:pt idx="3">
                  <c:v>2012</c:v>
                </c:pt>
                <c:pt idx="4">
                  <c:v>2013</c:v>
                </c:pt>
                <c:pt idx="5">
                  <c:v>2014</c:v>
                </c:pt>
                <c:pt idx="6">
                  <c:v>2015</c:v>
                </c:pt>
                <c:pt idx="7">
                  <c:v>2016</c:v>
                </c:pt>
                <c:pt idx="8">
                  <c:v>2017</c:v>
                </c:pt>
                <c:pt idx="9">
                  <c:v>2018</c:v>
                </c:pt>
                <c:pt idx="10">
                  <c:v>2019</c:v>
                </c:pt>
              </c:strCache>
            </c:strRef>
          </c:cat>
          <c:val>
            <c:numRef>
              <c:f>'Pivot Table 3'!$B$5:$B$16</c:f>
              <c:numCache>
                <c:formatCode>"$"#,##0.00</c:formatCode>
                <c:ptCount val="11"/>
                <c:pt idx="0">
                  <c:v>253</c:v>
                </c:pt>
                <c:pt idx="1">
                  <c:v>202</c:v>
                </c:pt>
                <c:pt idx="2">
                  <c:v>379</c:v>
                </c:pt>
                <c:pt idx="3">
                  <c:v>232</c:v>
                </c:pt>
                <c:pt idx="4">
                  <c:v>318</c:v>
                </c:pt>
                <c:pt idx="5">
                  <c:v>372</c:v>
                </c:pt>
                <c:pt idx="6">
                  <c:v>192</c:v>
                </c:pt>
                <c:pt idx="7">
                  <c:v>256</c:v>
                </c:pt>
                <c:pt idx="8">
                  <c:v>379</c:v>
                </c:pt>
                <c:pt idx="9">
                  <c:v>296</c:v>
                </c:pt>
                <c:pt idx="10">
                  <c:v>214</c:v>
                </c:pt>
              </c:numCache>
            </c:numRef>
          </c:val>
          <c:smooth val="0"/>
          <c:extLst>
            <c:ext xmlns:c16="http://schemas.microsoft.com/office/drawing/2014/chart" uri="{C3380CC4-5D6E-409C-BE32-E72D297353CC}">
              <c16:uniqueId val="{00000000-2553-4C6E-BB4B-43C0B093775E}"/>
            </c:ext>
          </c:extLst>
        </c:ser>
        <c:ser>
          <c:idx val="1"/>
          <c:order val="1"/>
          <c:tx>
            <c:strRef>
              <c:f>'Pivot Table 3'!$C$3:$C$4</c:f>
              <c:strCache>
                <c:ptCount val="1"/>
                <c:pt idx="0">
                  <c:v>Non Fiction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 3'!$A$5:$A$16</c:f>
              <c:strCache>
                <c:ptCount val="11"/>
                <c:pt idx="0">
                  <c:v>2009</c:v>
                </c:pt>
                <c:pt idx="1">
                  <c:v>2010</c:v>
                </c:pt>
                <c:pt idx="2">
                  <c:v>2011</c:v>
                </c:pt>
                <c:pt idx="3">
                  <c:v>2012</c:v>
                </c:pt>
                <c:pt idx="4">
                  <c:v>2013</c:v>
                </c:pt>
                <c:pt idx="5">
                  <c:v>2014</c:v>
                </c:pt>
                <c:pt idx="6">
                  <c:v>2015</c:v>
                </c:pt>
                <c:pt idx="7">
                  <c:v>2016</c:v>
                </c:pt>
                <c:pt idx="8">
                  <c:v>2017</c:v>
                </c:pt>
                <c:pt idx="9">
                  <c:v>2018</c:v>
                </c:pt>
                <c:pt idx="10">
                  <c:v>2019</c:v>
                </c:pt>
              </c:strCache>
            </c:strRef>
          </c:cat>
          <c:val>
            <c:numRef>
              <c:f>'Pivot Table 3'!$C$5:$C$16</c:f>
              <c:numCache>
                <c:formatCode>"$"#,##0.00</c:formatCode>
                <c:ptCount val="11"/>
                <c:pt idx="0">
                  <c:v>356</c:v>
                </c:pt>
                <c:pt idx="1">
                  <c:v>424</c:v>
                </c:pt>
                <c:pt idx="2">
                  <c:v>329</c:v>
                </c:pt>
                <c:pt idx="3">
                  <c:v>288</c:v>
                </c:pt>
                <c:pt idx="4">
                  <c:v>304</c:v>
                </c:pt>
                <c:pt idx="5">
                  <c:v>241</c:v>
                </c:pt>
                <c:pt idx="6">
                  <c:v>571</c:v>
                </c:pt>
                <c:pt idx="7">
                  <c:v>518</c:v>
                </c:pt>
                <c:pt idx="8">
                  <c:v>259</c:v>
                </c:pt>
                <c:pt idx="9">
                  <c:v>436</c:v>
                </c:pt>
                <c:pt idx="10">
                  <c:v>386</c:v>
                </c:pt>
              </c:numCache>
            </c:numRef>
          </c:val>
          <c:smooth val="0"/>
          <c:extLst>
            <c:ext xmlns:c16="http://schemas.microsoft.com/office/drawing/2014/chart" uri="{C3380CC4-5D6E-409C-BE32-E72D297353CC}">
              <c16:uniqueId val="{00000003-2553-4C6E-BB4B-43C0B093775E}"/>
            </c:ext>
          </c:extLst>
        </c:ser>
        <c:dLbls>
          <c:showLegendKey val="0"/>
          <c:showVal val="0"/>
          <c:showCatName val="0"/>
          <c:showSerName val="0"/>
          <c:showPercent val="0"/>
          <c:showBubbleSize val="0"/>
        </c:dLbls>
        <c:marker val="1"/>
        <c:smooth val="0"/>
        <c:axId val="1759165823"/>
        <c:axId val="1759164863"/>
      </c:lineChart>
      <c:catAx>
        <c:axId val="17591658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164863"/>
        <c:crosses val="autoZero"/>
        <c:auto val="1"/>
        <c:lblAlgn val="ctr"/>
        <c:lblOffset val="100"/>
        <c:noMultiLvlLbl val="0"/>
      </c:catAx>
      <c:valAx>
        <c:axId val="17591648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Amount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165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absolute">
    <xdr:from>
      <xdr:col>8</xdr:col>
      <xdr:colOff>38100</xdr:colOff>
      <xdr:row>14</xdr:row>
      <xdr:rowOff>152400</xdr:rowOff>
    </xdr:from>
    <xdr:to>
      <xdr:col>11</xdr:col>
      <xdr:colOff>83820</xdr:colOff>
      <xdr:row>28</xdr:row>
      <xdr:rowOff>165735</xdr:rowOff>
    </xdr:to>
    <mc:AlternateContent xmlns:mc="http://schemas.openxmlformats.org/markup-compatibility/2006" xmlns:sle15="http://schemas.microsoft.com/office/drawing/2012/slicer">
      <mc:Choice Requires="sle15">
        <xdr:graphicFrame macro="">
          <xdr:nvGraphicFramePr>
            <xdr:cNvPr id="6" name="Price">
              <a:extLst>
                <a:ext uri="{FF2B5EF4-FFF2-40B4-BE49-F238E27FC236}">
                  <a16:creationId xmlns:a16="http://schemas.microsoft.com/office/drawing/2014/main" id="{0F92CBA7-F38D-00A0-EB02-593C844A76C5}"/>
                </a:ext>
              </a:extLst>
            </xdr:cNvPr>
            <xdr:cNvGraphicFramePr/>
          </xdr:nvGraphicFramePr>
          <xdr:xfrm>
            <a:off x="0" y="0"/>
            <a:ext cx="0" cy="0"/>
          </xdr:xfrm>
          <a:graphic>
            <a:graphicData uri="http://schemas.microsoft.com/office/drawing/2010/slicer">
              <sle:slicer xmlns:sle="http://schemas.microsoft.com/office/drawing/2010/slicer" name="Price"/>
            </a:graphicData>
          </a:graphic>
        </xdr:graphicFrame>
      </mc:Choice>
      <mc:Fallback xmlns="">
        <xdr:sp macro="" textlink="">
          <xdr:nvSpPr>
            <xdr:cNvPr id="0" name=""/>
            <xdr:cNvSpPr>
              <a:spLocks noTextEdit="1"/>
            </xdr:cNvSpPr>
          </xdr:nvSpPr>
          <xdr:spPr>
            <a:xfrm>
              <a:off x="14142720" y="26060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0</xdr:col>
      <xdr:colOff>371475</xdr:colOff>
      <xdr:row>4</xdr:row>
      <xdr:rowOff>104775</xdr:rowOff>
    </xdr:from>
    <xdr:ext cx="5715000" cy="3533775"/>
    <xdr:graphicFrame macro="">
      <xdr:nvGraphicFramePr>
        <xdr:cNvPr id="2" name="Chart 1" title="Chart">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828675</xdr:colOff>
      <xdr:row>5</xdr:row>
      <xdr:rowOff>114300</xdr:rowOff>
    </xdr:from>
    <xdr:ext cx="5715000" cy="3533775"/>
    <xdr:graphicFrame macro="">
      <xdr:nvGraphicFramePr>
        <xdr:cNvPr id="3" name="Chart 2" title="Chart">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twoCellAnchor>
    <xdr:from>
      <xdr:col>5</xdr:col>
      <xdr:colOff>335280</xdr:colOff>
      <xdr:row>1</xdr:row>
      <xdr:rowOff>156210</xdr:rowOff>
    </xdr:from>
    <xdr:to>
      <xdr:col>20</xdr:col>
      <xdr:colOff>91440</xdr:colOff>
      <xdr:row>21</xdr:row>
      <xdr:rowOff>53340</xdr:rowOff>
    </xdr:to>
    <xdr:graphicFrame macro="">
      <xdr:nvGraphicFramePr>
        <xdr:cNvPr id="2" name="Chart 1">
          <a:extLst>
            <a:ext uri="{FF2B5EF4-FFF2-40B4-BE49-F238E27FC236}">
              <a16:creationId xmlns:a16="http://schemas.microsoft.com/office/drawing/2014/main" id="{404A5926-55B5-D476-DC59-D1E6607B8B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an" refreshedDate="45973.963474074073" createdVersion="8" refreshedVersion="8" minRefreshableVersion="3" recordCount="551" xr:uid="{8C685AE2-736C-4107-A84C-9DCD01C73653}">
  <cacheSource type="worksheet">
    <worksheetSource name="Table_1"/>
  </cacheSource>
  <cacheFields count="7">
    <cacheField name="Name" numFmtId="0">
      <sharedItems containsBlank="1"/>
    </cacheField>
    <cacheField name="Author" numFmtId="0">
      <sharedItems containsBlank="1"/>
    </cacheField>
    <cacheField name="User Rating" numFmtId="0">
      <sharedItems containsString="0" containsBlank="1" containsNumber="1" minValue="3.3" maxValue="4.9000000000000004"/>
    </cacheField>
    <cacheField name="Reviews" numFmtId="0">
      <sharedItems containsString="0" containsBlank="1" containsNumber="1" containsInteger="1" minValue="37" maxValue="87841"/>
    </cacheField>
    <cacheField name="Price" numFmtId="0">
      <sharedItems containsString="0" containsBlank="1" containsNumber="1" containsInteger="1" minValue="0" maxValue="105"/>
    </cacheField>
    <cacheField name="Year" numFmtId="0">
      <sharedItems containsString="0" containsBlank="1" containsNumber="1" containsInteger="1" minValue="2009" maxValue="2019" count="12">
        <n v="2016"/>
        <n v="2011"/>
        <n v="2018"/>
        <n v="2017"/>
        <n v="2019"/>
        <n v="2014"/>
        <n v="2010"/>
        <n v="2009"/>
        <n v="2015"/>
        <n v="2013"/>
        <n v="2012"/>
        <m/>
      </sharedItems>
    </cacheField>
    <cacheField name="Genre" numFmtId="0">
      <sharedItems containsBlank="1" count="3">
        <s v="Non Fiction"/>
        <s v="Fiction"/>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Lian" refreshedDate="45973.997424305555" refreshedVersion="8" recordCount="550" xr:uid="{00000000-000A-0000-FFFF-FFFF00000000}">
  <cacheSource type="worksheet">
    <worksheetSource ref="A1:H551" sheet="Worksheet"/>
  </cacheSource>
  <cacheFields count="8">
    <cacheField name="Name" numFmtId="0">
      <sharedItems count="350">
        <s v="10-Day Green Smoothie Cleanse"/>
        <s v="11/22/63: A Novel"/>
        <s v="12 Rules for Life: An Antidote to Chaos"/>
        <s v="1984 (Signet Classics)"/>
        <s v="5,000 Awesome Facts (About Everything!) (National Geographic Kids)"/>
        <s v="A Dance with Dragons (A Song of Ice and Fire)"/>
        <s v="A Game of Thrones / A Clash of Kings / A Storm of Swords / A Feast of Crows / A Dance with Dragons"/>
        <s v="A Gentleman in Moscow: A Novel"/>
        <s v="A Higher Loyalty: Truth, Lies, and Leadership"/>
        <s v="A Man Called Ove: A Novel"/>
        <s v="A Patriot's History of the United States: From Columbus's Great Discovery to the War on Terror"/>
        <s v="A Stolen Life: A Memoir"/>
        <s v="A Wrinkle in Time (Time Quintet)"/>
        <s v="Act Like a Lady, Think Like a Man: What Men Really Think About Love, Relationships, Intimacy, and Commitment"/>
        <s v="Adult Coloring Book Designs: Stress Relief Coloring Book: Garden Designs, Mandalas, Animals, and Paisley Patterns"/>
        <s v="Adult Coloring Book: Stress Relieving Animal Designs"/>
        <s v="Adult Coloring Book: Stress Relieving Patterns"/>
        <s v="Adult Coloring Books: A Coloring Book for Adults Featuring Mandalas and Henna Inspired Flowers, Animals, and Paisley…"/>
        <s v="Alexander Hamilton"/>
        <s v="All the Light We Cannot See"/>
        <s v="Allegiant"/>
        <s v="American Sniper: The Autobiography of the Most Lethal Sniper in U.S. Military History"/>
        <s v="And the Mountains Echoed"/>
        <s v="Arguing with Idiots: How to Stop Small Minds and Big Government"/>
        <s v="Astrophysics for People in a Hurry"/>
        <s v="Autobiography of Mark Twain, Vol. 1"/>
        <s v="Baby Touch and Feel: Animals"/>
        <s v="Balance (Angie's Extreme Stress Menders)"/>
        <s v="Barefoot Contessa Foolproof: Recipes You Can Trust: A Cookbook"/>
        <s v="Barefoot Contessa, How Easy Is That?: Fabulous Recipes &amp; Easy Tips"/>
        <s v="Becoming"/>
        <s v="Being Mortal: Medicine and What Matters in the End"/>
        <s v="Between the World and Me"/>
        <s v="Born to Run"/>
        <s v="Breaking Dawn (The Twilight Saga, Book 4)"/>
        <s v="Broke: The Plan to Restore Our Trust, Truth and Treasure"/>
        <s v="Brown Bear, Brown Bear, What Do You See?"/>
        <s v="Cabin Fever (Diary of a Wimpy Kid, Book 6)"/>
        <s v="Calm the F*ck Down: An Irreverent Adult Coloring Book (Irreverent Book Series)"/>
        <s v="Can't Hurt Me: Master Your Mind and Defy the Odds"/>
        <s v="Capital in the Twenty First Century"/>
        <s v="Catching Fire (The Hunger Games)"/>
        <s v="Cravings: Recipes for All the Food You Want to Eat: A Cookbook"/>
        <s v="Crazy Love: Overwhelmed by a Relentless God"/>
        <s v="Crazy Rich Asians (Crazy Rich Asians Trilogy)"/>
        <s v="Creative Haven Creative Cats Coloring Book (Adult Coloring)"/>
        <s v="Creative Haven Owls Coloring Book (Adult Coloring)"/>
        <s v="Cutting for Stone"/>
        <s v="Daring Greatly: How the Courage to Be Vulnerable Transforms the Way We Live, Love, Parent, and Lead"/>
        <s v="David and Goliath: Underdogs, Misfits, and the Art of Battling Giants"/>
        <s v="Dead And Gone: A Sookie Stackhouse Novel (Sookie Stackhouse/True Blood)"/>
        <s v="Dead in the Family (Sookie Stackhouse/True Blood, Book 10)"/>
        <s v="Dead Reckoning (Sookie Stackhouse/True Blood, Book 11)"/>
        <s v="Dear Zoo: A Lift-the-Flap Book"/>
        <s v="Decision Points"/>
        <s v="Delivering Happiness: A Path to Profits, Passion, and Purpose"/>
        <s v="Diagnostic and Statistical Manual of Mental Disorders, 5th Edition: DSM-5"/>
        <s v="Diary of a Wimpy Kid: Hard Luck, Book 8"/>
        <s v="Diary of a Wimpy Kid: The Last Straw (Book 3)"/>
        <s v="Diary of a Wimpy Kid: The Long Haul"/>
        <s v="Difficult Riddles For Smart Kids: 300 Difficult Riddles And Brain Teasers Families Will Love (Books for Smart Kids)"/>
        <s v="Divergent"/>
        <s v="Divergent / Insurgent"/>
        <s v="Divine Soul Mind Body Healing and Transmission System: The Divine Way to Heal You, Humanity, Mother Earth, and All…"/>
        <s v="Doctor Sleep: A Novel"/>
        <s v="Dog Days (Diary of a Wimpy Kid, Book 4) (Volume 4)"/>
        <s v="Dog Man and Cat Kid: From the Creator of Captain Underpants (Dog Man #4)"/>
        <s v="Dog Man: A Tale of Two Kitties: From the Creator of Captain Underpants (Dog Man #3)"/>
        <s v="Dog Man: Brawl of the Wild: From the Creator of Captain Underpants (Dog Man #6)"/>
        <s v="Dog Man: Fetch-22: From the Creator of Captain Underpants (Dog Man #8)"/>
        <s v="Dog Man: For Whom the Ball Rolls: From the Creator of Captain Underpants (Dog Man #7)"/>
        <s v="Dog Man: Lord of the Fleas: From the Creator of Captain Underpants (Dog Man #5)"/>
        <s v="Double Down (Diary of a Wimpy Kid #11)"/>
        <s v="Dover Creative Haven Art Nouveau Animal Designs Coloring Book (Creative Haven Coloring Books)"/>
        <s v="Drive: The Surprising Truth About What Motivates Us"/>
        <s v="Eat This Not That! Supermarket Survival Guide: The No-Diet Weight Loss Solution"/>
        <s v="Eat This, Not That! Thousands of Simple Food Swaps that Can Save You 10, 20, 30 Pounds--or More!"/>
        <s v="Eat to Live: The Amazing Nutrient-Rich Program for Fast and Sustained Weight Loss, Revised Edition"/>
        <s v="Eclipse (Twilight Sagas)"/>
        <s v="Eclipse (Twilight)"/>
        <s v="Educated: A Memoir"/>
        <s v="Enchanted Forest: An Inky Quest and Coloring book (Activity Books, Mindfulness and Meditation, Illustrated Floral Prints…"/>
        <s v="Fahrenheit 451"/>
        <s v="Fantastic Beasts and Where to Find Them: The Original Screenplay (Harry Potter)"/>
        <s v="Fear: Trump in the White House"/>
        <s v="Fifty Shades Darker"/>
        <s v="Fifty Shades Freed: Book Three of the Fifty Shades Trilogy (Fifty Shades of Grey Series) (English Edition)"/>
        <s v="Fifty Shades of Grey: Book One of the Fifty Shades Trilogy (Fifty Shades of Grey Series)"/>
        <s v="Fifty Shades Trilogy (Fifty Shades of Grey / Fifty Shades Darker / Fifty Shades Freed)"/>
        <s v="Fire and Fury: Inside the Trump White House"/>
        <s v="First 100 Words"/>
        <s v="Food Rules: An Eater's Manual"/>
        <s v="Frozen (Little Golden Book)"/>
        <s v="Game Change: Obama and the Clintons, McCain and Palin, and the Race of a Lifetime"/>
        <s v="Game of Thrones Boxed Set: A Game of Thrones/A Clash of Kings/A Storm of Swords/A Feast for Crows"/>
        <s v="George Washington's Sacred Fire"/>
        <s v="George Washington's Secret Six: The Spy Ring That Saved the American Revolution"/>
        <s v="Giraffes Can't Dance"/>
        <s v="Girl, Stop Apologizing: A Shame-Free Plan for Embracing and Achieving Your Goals"/>
        <s v="Girl, Wash Your Face: Stop Believing the Lies About Who You Are So You Can Become Who You Were Meant to Be"/>
        <s v="Glenn Beck's Common Sense: The Case Against an Out-of-Control Government, Inspired by Thomas Paine"/>
        <s v="Go Set a Watchman: A Novel"/>
        <s v="Go the F**k to Sleep"/>
        <s v="Going Rogue: An American Life"/>
        <s v="Gone Girl"/>
        <s v="Good Days Start With Gratitude: A 52 Week Guide To Cultivate An Attitude Of Gratitude: Gratitude Journal"/>
        <s v="Good to Great: Why Some Companies Make the Leap and Others Don't"/>
        <s v="Goodnight Moon"/>
        <s v="Goodnight, Goodnight Construction Site (Hardcover Books for Toddlers, Preschool Books for Kids)"/>
        <s v="Grain Brain: The Surprising Truth about Wheat, Carbs, and Sugar--Your Brain's Silent Killers"/>
        <s v="Grey: Fifty Shades of Grey as Told by Christian (Fifty Shades of Grey Series)"/>
        <s v="Guts"/>
        <s v="Hamilton: The Revolution"/>
        <s v="Happy, Happy, Happy: My Life and Legacy as the Duck Commander"/>
        <s v="Harry Potter and the Chamber of Secrets: The Illustrated Edition (Harry Potter, Book 2)"/>
        <s v="Harry Potter and the Cursed Child, Parts 1 &amp; 2, Special Rehearsal Edition Script"/>
        <s v="Harry Potter and the Goblet of Fire: The Illustrated Edition (Harry Potter, Book 4) (4)"/>
        <s v="Harry Potter and the Prisoner of Azkaban: The Illustrated Edition (Harry Potter, Book 3)"/>
        <s v="Harry Potter and the Sorcerer's Stone: The Illustrated Edition (Harry Potter, Book 1)"/>
        <s v="Harry Potter Coloring Book"/>
        <s v="Harry Potter Paperback Box Set (Books 1-7)"/>
        <s v="Have a Little Faith: A True Story"/>
        <s v="Heaven is for Real: A Little Boy's Astounding Story of His Trip to Heaven and Back"/>
        <s v="Hillbilly Elegy: A Memoir of a Family and Culture in Crisis"/>
        <s v="Homebody: A Guide to Creating Spaces You Never Want to Leave"/>
        <s v="How to Win Friends &amp; Influence People"/>
        <s v="Howard Stern Comes Again"/>
        <s v="Humans of New York"/>
        <s v="Humans of New York : Stories"/>
        <s v="Hyperbole and a Half: Unfortunate Situations, Flawed Coping Mechanisms, Mayhem, and Other Things That Happened"/>
        <s v="I Am Confident, Brave &amp; Beautiful: A Coloring Book for Girls"/>
        <s v="I, Alex Cross"/>
        <s v="If Animals Kissed Good Night"/>
        <s v="If I Stay"/>
        <s v="In the Garden of Beasts: Love, Terror, and an American Family in Hitler's Berlin"/>
        <s v="Inferno"/>
        <s v="Inheritance: Book IV (Inheritance Cycle)"/>
        <s v="Instant Pot Pressure Cooker Cookbook: 500 Everyday Recipes for Beginners and Advanced Users. Try Easy and Healthy…"/>
        <s v="It's Not Supposed to Be This Way: Finding Unexpected Strength When Disappointments Leave You Shattered"/>
        <s v="Jesus Calling: Enjoying Peace in His Presence (with Scripture References)"/>
        <s v="JOURNEY TO THE ICE P"/>
        <s v="Joyland (Hard Case Crime)"/>
        <s v="Killers of the Flower Moon: The Osage Murders and the Birth of the FBI"/>
        <s v="Killing Jesus (Bill O'Reilly's Killing Series)"/>
        <s v="Killing Kennedy: The End of Camelot"/>
        <s v="Killing Lincoln: The Shocking Assassination that Changed America Forever (Bill O'Reilly's Killing Series)"/>
        <s v="Killing Patton: The Strange Death of World War II's Most Audacious General (Bill O'Reilly's Killing Series)"/>
        <s v="Killing Reagan: The Violent Assault That Changed a Presidency (Bill O'Reilly's Killing Series)"/>
        <s v="Killing the Rising Sun: How America Vanquished World War II Japan (Bill O'Reilly's Killing Series)"/>
        <s v="Kitchen Confidential Updated Edition: Adventures in the Culinary Underbelly (P.S.)"/>
        <s v="Knock-Knock Jokes for Kids"/>
        <s v="Last Week Tonight with John Oliver Presents A Day in the Life of Marlon Bundo (Better Bundo Book, LGBT Childrens Book)"/>
        <s v="Laugh-Out-Loud Jokes for Kids"/>
        <s v="Lean In: Women, Work, and the Will to Lead"/>
        <s v="Leonardo da Vinci"/>
        <s v="Lettering and Modern Calligraphy: A Beginner's Guide: Learn Hand Lettering and Brush Lettering"/>
        <s v="Liberty and Tyranny: A Conservative Manifesto"/>
        <s v="Life"/>
        <s v="Little Bee: A Novel"/>
        <s v="Little Blue Truck"/>
        <s v="Little Fires Everywhere"/>
        <s v="Looking for Alaska"/>
        <s v="Love Wins: A Book About Heaven, Hell, and the Fate of Every Person Who Ever Lived"/>
        <s v="Love You Forever"/>
        <s v="Magnolia Table: A Collection of Recipes for Gathering"/>
        <s v="Make It Ahead: A Barefoot Contessa Cookbook"/>
        <s v="Make Your Bed: Little Things That Can Change Your Life...And Maybe the World"/>
        <s v="Mastering the Art of French Cooking, Vol. 2"/>
        <s v="Milk and Honey"/>
        <s v="Milk and Vine: Inspirational Quotes From Classic Vines"/>
        <s v="Mindset: The New Psychology of Success"/>
        <s v="Mockingjay (The Hunger Games)"/>
        <s v="National Geographic Kids Why?: Over 1,111 Answers to Everything"/>
        <s v="National Geographic Little Kids First Big Book of Why (National Geographic Little Kids First Big Books)"/>
        <s v="New Moon (The Twilight Saga)"/>
        <s v="Night (Night)"/>
        <s v="No Easy Day: The Autobiography of a Navy Seal: The Firsthand Account of the Mission That Killed Osama Bin Laden"/>
        <s v="Obama: An Intimate Portrait"/>
        <s v="Oh, the Places You'll Go!"/>
        <s v="Old School (Diary of a Wimpy Kid #10)"/>
        <s v="Olive Kitteridge"/>
        <s v="One Thousand Gifts: A Dare to Live Fully Right Where You Are"/>
        <s v="Option B: Facing Adversity, Building Resilience, and Finding Joy"/>
        <s v="Origin: A Novel (Robert Langdon)"/>
        <s v="Orphan Train"/>
        <s v="Outliers: The Story of Success"/>
        <s v="P is for Potty! (Sesame Street) (Lift-the-Flap)"/>
        <s v="Percy Jackson and the Olympians Paperback Boxed Set (Books 1-3)"/>
        <s v="Player's Handbook (Dungeons &amp; Dragons)"/>
        <s v="Pokémon Deluxe Essential Handbook: The Need-to-Know Stats and Facts on Over 700 Pokémon"/>
        <s v="Proof of Heaven: A Neurosurgeon's Journey into the Afterlife"/>
        <s v="Publication Manual of the American Psychological Association, 6th Edition"/>
        <s v="Puppy Birthday to You! (Paw Patrol) (Little Golden Book)"/>
        <s v="Quiet: The Power of Introverts in a World That Can't Stop Talking"/>
        <s v="Radical: Taking Back Your Faith from the American Dream"/>
        <s v="Ready Player One: A Novel"/>
        <s v="Rush Revere and the Brave Pilgrims: Time-Travel Adventures with Exceptional Americans (1)"/>
        <s v="Rush Revere and the First Patriots: Time-Travel Adventures With Exceptional Americans (2)"/>
        <s v="Salt, Fat, Acid, Heat: Mastering the Elements of Good Cooking"/>
        <s v="Sarah's Key"/>
        <s v="School Zone - Big Preschool Workbook - Ages 4 and Up, Colors, Shapes, Numbers 1-10, Alphabet, Pre-Writing, Pre-Reading…"/>
        <s v="Secret Garden: An Inky Treasure Hunt and Coloring Book (For Adults, mindfulness coloring)"/>
        <s v="Sh*t My Dad Says"/>
        <s v="Ship of Fools: How a Selfish Ruling Class Is Bringing America to the Brink of Revolution"/>
        <s v="Shred: The Revolutionary Diet: 6 Weeks 4 Inches 2 Sizes"/>
        <s v="Sookie Stackhouse"/>
        <s v="Soul Healing Miracles: Ancient and New Sacred Wisdom, Knowledge, and Practical Techniques for Healing the Spiritual…"/>
        <s v="Steve Jobs"/>
        <s v="Strange Planet (Strange Planet Series)"/>
        <s v="StrengthsFinder 2.0"/>
        <s v="Super Freakonomics: Global Cooling, Patriotic Prostitutes, and Why Suicide Bombers Should Buy Life Insurance"/>
        <s v="Switch: How to Change Things When Change Is Hard"/>
        <s v="Sycamore Row (Jake Brigance)"/>
        <s v="Teach Like a Champion: 49 Techniques that Put Students on the Path to College"/>
        <s v="The 17 Day Diet: A Doctor's Plan Designed for Rapid Results"/>
        <s v="The 4 Hour Body: An Uncommon Guide to Rapid Fat Loss, Incredible Sex and Becoming Superhuman"/>
        <s v="The 5 Love Languages: The Secret to Love That Lasts"/>
        <s v="The 5000 Year Leap"/>
        <s v="The 7 Habits of Highly Effective People: Powerful Lessons in Personal Change"/>
        <s v="The Alchemist"/>
        <s v="The Amateur"/>
        <s v="The Art of Racing in the Rain: A Novel"/>
        <s v="The Big Short: Inside the Doomsday Machine"/>
        <s v="The Blood of Olympus (The Heroes of Olympus (5))"/>
        <s v="The Blood Sugar Solution: The UltraHealthy Program for Losing Weight, Preventing Disease, and Feeling Great Now!"/>
        <s v="The Body Keeps the Score: Brain, Mind, and Body in the Healing of Trauma"/>
        <s v="The Book of Basketball: The NBA According to The Sports Guy"/>
        <s v="The Book Thief"/>
        <s v="The Book with No Pictures"/>
        <s v="The Boys in the Boat: Nine Americans and Their Epic Quest for Gold at the 1936 Berlin Olympics"/>
        <s v="The Casual Vacancy"/>
        <s v="The China Study: The Most Comprehensive Study of Nutrition Ever Conducted And the Startling Implications for Diet…"/>
        <s v="The Complete Ketogenic Diet for Beginners: Your Essential Guide to Living the Keto Lifestyle"/>
        <s v="The Confession: A Novel"/>
        <s v="The Constitution of the United States"/>
        <s v="The Daily Show with Jon Stewart Presents Earth (The Book): A Visitor's Guide to the Human Race"/>
        <s v="The Day the Crayons Quit"/>
        <s v="The Dukan Diet: 2 Steps to Lose the Weight, 2 Steps to Keep It Off Forever"/>
        <s v="The Elegance of the Hedgehog"/>
        <s v="The Fault in Our Stars"/>
        <s v="The Five Dysfunctions of a Team: A Leadership Fable"/>
        <s v="The Five Love Languages: How to Express Heartfelt Commitment to Your Mate"/>
        <s v="The Four Agreements: A Practical Guide to Personal Freedom (A Toltec Wisdom Book)"/>
        <s v="The Getaway"/>
        <s v="The Girl on the Train"/>
        <s v="The Girl Who Kicked the Hornet's Nest (Millennium Trilogy)"/>
        <s v="The Girl Who Played with Fire (Millennium Series)"/>
        <s v="The Girl Who Played with Fire (Millennium)"/>
        <s v="The Girl with the Dragon Tattoo (Millennium Series)"/>
        <s v="The Going-To-Bed Book"/>
        <s v="The Goldfinch: A Novel (Pulitzer Prize for Fiction)"/>
        <s v="The Great Gatsby"/>
        <s v="The Guardians: A Novel"/>
        <s v="The Guernsey Literary and Potato Peel Pie Society"/>
        <s v="The Handmaid's Tale"/>
        <s v="The Harbinger: The Ancient Mystery that Holds the Secret of America's Future"/>
        <s v="The Hate U Give"/>
        <s v="The Help"/>
        <s v="The House of Hades (Heroes of Olympus, Book 4)"/>
        <s v="The Hunger Games"/>
        <s v="The Hunger Games (Book 1)"/>
        <s v="The Hunger Games Trilogy Boxed Set (1)"/>
        <s v="The Immortal Life of Henrietta Lacks"/>
        <s v="The Instant Pot Electric Pressure Cooker Cookbook: Easy Recipes for Fast &amp; Healthy Meals"/>
        <s v="The Last Lecture"/>
        <s v="The Last Olympian (Percy Jackson and the Olympians, Book 5)"/>
        <s v="The Legend of Zelda: Hyrule Historia"/>
        <s v="The Lego Ideas Book: Unlock Your Imagination"/>
        <s v="The Life-Changing Magic of Tidying Up: The Japanese Art of Decluttering and Organizing"/>
        <s v="The Litigators"/>
        <s v="The Lost Hero (Heroes of Olympus, Book 1)"/>
        <s v="The Lost Symbol"/>
        <s v="The Love Dare"/>
        <s v="The Magnolia Story"/>
        <s v="The Mark of Athena (Heroes of Olympus, Book 3)"/>
        <s v="The Martian"/>
        <s v="The Maze Runner (Book 1)"/>
        <s v="The Meltdown (Diary of a Wimpy Kid Book 13)"/>
        <s v="The Mueller Report"/>
        <s v="The Nightingale: A Novel"/>
        <s v="The Official SAT Study Guide"/>
        <s v="The Official SAT Study Guide, 2016 Edition (Official Study Guide for the New Sat)"/>
        <s v="The Paris Wife: A Novel"/>
        <s v="The Pioneer Woman Cooks: A Year of Holidays: 140 Step-by-Step Recipes for Simple, Scrumptious Celebrations"/>
        <s v="The Pioneer Woman Cooks: Dinnertime - Comfort Classics, Freezer Food, 16-minute Meals, and Other Delicious Ways to Solve…"/>
        <s v="The Pioneer Woman Cooks: Food from My Frontier"/>
        <s v="The Plant Paradox Cookbook: 100 Delicious Recipes to Help You Lose Weight, Heal Your Gut, and Live Lectin-Free"/>
        <s v="The Plant Paradox: The Hidden Dangers in &quot;Healthy&quot; Foods That Cause Disease and Weight Gain"/>
        <s v="The Pout-Pout Fish"/>
        <s v="The Power of Habit: Why We Do What We Do in Life and Business"/>
        <s v="The President Is Missing: A Novel"/>
        <s v="The Racketeer"/>
        <s v="The Red Pyramid (The Kane Chronicles, Book 1)"/>
        <s v="The Road to Serfdom: Text and Documents--The Definitive Edition (The Collected Works of F. A. Hayek, Volume 2)"/>
        <s v="The Serpent's Shadow (The Kane Chronicles, Book 3)"/>
        <s v="The Shack: Where Tragedy Confronts Eternity"/>
        <s v="The Short Second Life of Bree Tanner: An Eclipse Novella (The Twilight Saga)"/>
        <s v="The Silent Patient"/>
        <s v="The Son of Neptune (Heroes of Olympus, Book 2)"/>
        <s v="The Subtle Art of Not Giving a F*ck: A Counterintuitive Approach to Living a Good Life"/>
        <s v="The Sun and Her Flowers"/>
        <s v="The Third Wheel (Diary of a Wimpy Kid, Book 7)"/>
        <s v="The Throne of Fire (The Kane Chronicles, Book 2)"/>
        <s v="The Time Traveler's Wife"/>
        <s v="The Tipping Point: How Little Things Can Make a Big Difference"/>
        <s v="The Total Money Makeover: Classic Edition: A Proven Plan for Financial Fitness"/>
        <s v="The Twilight Saga Collection"/>
        <s v="The Ugly Truth (Diary of a Wimpy Kid, Book 5)"/>
        <s v="The Unofficial Harry Potter Cookbook: From Cauldron Cakes to Knickerbocker Glory--More Than 150 Magical Recipes for…"/>
        <s v="The Very Hungry Caterpillar"/>
        <s v="The Whole30: The 30-Day Guide to Total Health and Food Freedom"/>
        <s v="The Wonderful Things You Will Be"/>
        <s v="The Wonky Donkey"/>
        <s v="The Wright Brothers"/>
        <s v="Things That Matter: Three Decades of Passions, Pastimes and Politics [Deckled Edge]"/>
        <s v="Thinking, Fast and Slow"/>
        <s v="Thirteen Reasons Why"/>
        <s v="Thomas Jefferson: The Art of Power"/>
        <s v="Three Cups of Tea: One Man's Mission to Promote Peace - One School at a Time"/>
        <s v="Thug Kitchen: The Official Cookbook: Eat Like You Give a F*ck (Thug Kitchen Cookbooks)"/>
        <s v="Tina Fey: Bossypants"/>
        <s v="To Kill a Mockingbird"/>
        <s v="Tools of Titans: The Tactics, Routines, and Habits of Billionaires, Icons, and World-Class Performers"/>
        <s v="Towers of Midnight (Wheel of Time, Book Thirteen)"/>
        <s v="True Compass: A Memoir"/>
        <s v="Twilight (The Twilight Saga, Book 1)"/>
        <s v="Ultimate Sticker Book: Frozen: More Than 60 Reusable Full-Color Stickers"/>
        <s v="Unbroken: A World War II Story of Survival, Resilience, and Redemption"/>
        <s v="Under the Dome: A Novel"/>
        <s v="Unfreedom of the Press"/>
        <s v="Unicorn Coloring Book: For Kids Ages 4-8 (US Edition) (Silly Bear Coloring Books)"/>
        <s v="Uninvited: Living Loved When You Feel Less Than, Left Out, and Lonely"/>
        <s v="Watchmen"/>
        <s v="Water for Elephants: A Novel"/>
        <s v="What Happened"/>
        <s v="What If?: Serious Scientific Answers to Absurd Hypothetical Questions"/>
        <s v="What Pet Should I Get? (Classic Seuss)"/>
        <s v="What Should Danny Do? (The Power to Choose Series)"/>
        <s v="What to Expect When You're Expecting"/>
        <s v="Wheat Belly: Lose the Wheat, Lose the Weight, and Find Your Path Back to Health"/>
        <s v="When Breath Becomes Air"/>
        <s v="Where the Crawdads Sing"/>
        <s v="Where the Wild Things Are"/>
        <s v="Whose Boat Is This Boat?: Comments That Don't Help in the Aftermath of a Hurricane"/>
        <s v="Wild: From Lost to Found on the Pacific Crest Trail"/>
        <s v="Winter of the World: Book Two of the Century Trilogy"/>
        <s v="Women Food and God: An Unexpected Path to Almost Everything"/>
        <s v="Wonder"/>
        <s v="Wrecking Ball (Diary of a Wimpy Kid Book 14)"/>
        <s v="You Are a Badass: How to Stop Doubting Your Greatness and Start Living an Awesome Life"/>
      </sharedItems>
    </cacheField>
    <cacheField name="Author" numFmtId="0">
      <sharedItems/>
    </cacheField>
    <cacheField name="User Rating" numFmtId="0">
      <sharedItems containsSemiMixedTypes="0" containsString="0" containsNumber="1" minValue="3.3" maxValue="4.9000000000000004"/>
    </cacheField>
    <cacheField name="Reviews" numFmtId="0">
      <sharedItems containsSemiMixedTypes="0" containsString="0" containsNumber="1" containsInteger="1" minValue="37" maxValue="87841"/>
    </cacheField>
    <cacheField name="Price" numFmtId="164">
      <sharedItems containsSemiMixedTypes="0" containsString="0" containsNumber="1" containsInteger="1" minValue="0" maxValue="105"/>
    </cacheField>
    <cacheField name="Year" numFmtId="0">
      <sharedItems containsSemiMixedTypes="0" containsString="0" containsNumber="1" containsInteger="1" minValue="2009" maxValue="2019"/>
    </cacheField>
    <cacheField name="Genre" numFmtId="0">
      <sharedItems/>
    </cacheField>
    <cacheField name=" "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Lian" refreshedDate="45973.997424305555" refreshedVersion="8" recordCount="550" xr:uid="{00000000-000A-0000-FFFF-FFFF01000000}">
  <cacheSource type="worksheet">
    <worksheetSource ref="A1:G551" sheet="Worksheet"/>
  </cacheSource>
  <cacheFields count="7">
    <cacheField name="Name" numFmtId="0">
      <sharedItems/>
    </cacheField>
    <cacheField name="Author" numFmtId="0">
      <sharedItems/>
    </cacheField>
    <cacheField name="User Rating" numFmtId="0">
      <sharedItems containsSemiMixedTypes="0" containsString="0" containsNumber="1" minValue="3.3" maxValue="4.9000000000000004"/>
    </cacheField>
    <cacheField name="Reviews" numFmtId="0">
      <sharedItems containsSemiMixedTypes="0" containsString="0" containsNumber="1" containsInteger="1" minValue="37" maxValue="87841"/>
    </cacheField>
    <cacheField name="Price" numFmtId="164">
      <sharedItems containsSemiMixedTypes="0" containsString="0" containsNumber="1" containsInteger="1" minValue="0" maxValue="105"/>
    </cacheField>
    <cacheField name="Year" numFmtId="0">
      <sharedItems containsSemiMixedTypes="0" containsString="0" containsNumber="1" containsInteger="1" minValue="2009" maxValue="2019"/>
    </cacheField>
    <cacheField name="Genre" numFmtId="0">
      <sharedItems count="2">
        <s v="Non Fiction"/>
        <s v="Fiction"/>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1">
  <r>
    <s v="10-Day Green Smoothie Cleanse"/>
    <s v="JJ Smith"/>
    <n v="4.7"/>
    <n v="17350"/>
    <n v="105"/>
    <x v="0"/>
    <x v="0"/>
  </r>
  <r>
    <s v="11/22/63: A Novel"/>
    <s v="Stephen King"/>
    <n v="4.5999999999999996"/>
    <n v="2052"/>
    <n v="105"/>
    <x v="1"/>
    <x v="1"/>
  </r>
  <r>
    <s v="12 Rules for Life: An Antidote to Chaos"/>
    <s v="Jordan B. Peterson"/>
    <n v="4.7"/>
    <n v="18979"/>
    <n v="82"/>
    <x v="2"/>
    <x v="0"/>
  </r>
  <r>
    <s v="1984 (Signet Classics)"/>
    <s v="George Orwell"/>
    <n v="4.7"/>
    <n v="21424"/>
    <n v="54"/>
    <x v="3"/>
    <x v="1"/>
  </r>
  <r>
    <s v="5,000 Awesome Facts (About Everything!) (National Geographic Kids)"/>
    <s v="National Geographic Kids"/>
    <n v="4.8"/>
    <n v="7665"/>
    <n v="53"/>
    <x v="4"/>
    <x v="0"/>
  </r>
  <r>
    <s v="A Dance with Dragons (A Song of Ice and Fire)"/>
    <s v="George R. R. Martin"/>
    <n v="4.4000000000000004"/>
    <n v="12643"/>
    <n v="52"/>
    <x v="1"/>
    <x v="1"/>
  </r>
  <r>
    <s v="A Game of Thrones / A Clash of Kings / A Storm of Swords / A Feast of Crows / A Dance with Dragons"/>
    <s v="George R. R. Martin"/>
    <n v="4.7"/>
    <n v="19735"/>
    <n v="46"/>
    <x v="5"/>
    <x v="1"/>
  </r>
  <r>
    <s v="A Gentleman in Moscow: A Novel"/>
    <s v="Amor Towles"/>
    <n v="4.7"/>
    <n v="19699"/>
    <n v="46"/>
    <x v="3"/>
    <x v="1"/>
  </r>
  <r>
    <s v="A Higher Loyalty: Truth, Lies, and Leadership"/>
    <s v="James Comey"/>
    <n v="4.7"/>
    <n v="5983"/>
    <n v="46"/>
    <x v="2"/>
    <x v="0"/>
  </r>
  <r>
    <s v="A Man Called Ove: A Novel"/>
    <s v="Fredrik Backman"/>
    <n v="4.5999999999999996"/>
    <n v="23848"/>
    <n v="46"/>
    <x v="0"/>
    <x v="1"/>
  </r>
  <r>
    <s v="A Man Called Ove: A Novel"/>
    <s v="Fredrik Backman"/>
    <n v="4.5999999999999996"/>
    <n v="23848"/>
    <n v="46"/>
    <x v="3"/>
    <x v="1"/>
  </r>
  <r>
    <s v="A Patriot's History of the United States: From Columbus's Great Discovery to the War on Terror"/>
    <s v="Larry Schweikart"/>
    <n v="4.5999999999999996"/>
    <n v="460"/>
    <n v="46"/>
    <x v="6"/>
    <x v="0"/>
  </r>
  <r>
    <s v="A Stolen Life: A Memoir"/>
    <s v="Jaycee Dugard"/>
    <n v="4.5999999999999996"/>
    <n v="4149"/>
    <n v="46"/>
    <x v="1"/>
    <x v="0"/>
  </r>
  <r>
    <s v="A Wrinkle in Time (Time Quintet)"/>
    <s v="Madeleine L'Engle"/>
    <n v="4.5"/>
    <n v="5153"/>
    <n v="46"/>
    <x v="2"/>
    <x v="1"/>
  </r>
  <r>
    <s v="Act Like a Lady, Think Like a Man: What Men Really Think About Love, Relationships, Intimacy, and Commitment"/>
    <s v="Steve Harvey"/>
    <n v="4.5999999999999996"/>
    <n v="5013"/>
    <n v="46"/>
    <x v="7"/>
    <x v="0"/>
  </r>
  <r>
    <s v="Adult Coloring Book Designs: Stress Relief Coloring Book: Garden Designs, Mandalas, Animals, and Paisley Patterns"/>
    <s v="Adult Coloring Book Designs"/>
    <n v="4.5"/>
    <n v="2313"/>
    <n v="46"/>
    <x v="0"/>
    <x v="0"/>
  </r>
  <r>
    <s v="Adult Coloring Book: Stress Relieving Animal Designs"/>
    <s v="Blue Star Coloring"/>
    <n v="4.5999999999999996"/>
    <n v="2925"/>
    <n v="42"/>
    <x v="8"/>
    <x v="0"/>
  </r>
  <r>
    <s v="Adult Coloring Book: Stress Relieving Patterns"/>
    <s v="Blue Star Coloring"/>
    <n v="4.4000000000000004"/>
    <n v="2951"/>
    <n v="40"/>
    <x v="8"/>
    <x v="0"/>
  </r>
  <r>
    <s v="Adult Coloring Books: A Coloring Book for Adults Featuring Mandalas and Henna Inspired Flowers, Animals, and Paisley…"/>
    <s v="Coloring Books for Adults"/>
    <n v="4.5"/>
    <n v="2426"/>
    <n v="40"/>
    <x v="8"/>
    <x v="0"/>
  </r>
  <r>
    <s v="Alexander Hamilton"/>
    <s v="Ron Chernow"/>
    <n v="4.8"/>
    <n v="9198"/>
    <n v="40"/>
    <x v="0"/>
    <x v="0"/>
  </r>
  <r>
    <s v="All the Light We Cannot See"/>
    <s v="Anthony Doerr"/>
    <n v="4.5999999999999996"/>
    <n v="36348"/>
    <n v="40"/>
    <x v="5"/>
    <x v="1"/>
  </r>
  <r>
    <s v="All the Light We Cannot See"/>
    <s v="Anthony Doerr"/>
    <n v="4.5999999999999996"/>
    <n v="36348"/>
    <n v="40"/>
    <x v="8"/>
    <x v="1"/>
  </r>
  <r>
    <s v="Allegiant"/>
    <s v="Veronica Roth"/>
    <n v="3.9"/>
    <n v="6310"/>
    <n v="39"/>
    <x v="9"/>
    <x v="1"/>
  </r>
  <r>
    <s v="American Sniper: The Autobiography of the Most Lethal Sniper in U.S. Military History"/>
    <s v="Chris Kyle"/>
    <n v="4.5999999999999996"/>
    <n v="15921"/>
    <n v="36"/>
    <x v="8"/>
    <x v="0"/>
  </r>
  <r>
    <s v="And the Mountains Echoed"/>
    <s v="Khaled Hosseini"/>
    <n v="4.3"/>
    <n v="12159"/>
    <n v="32"/>
    <x v="9"/>
    <x v="1"/>
  </r>
  <r>
    <s v="Arguing with Idiots: How to Stop Small Minds and Big Government"/>
    <s v="Glenn Beck"/>
    <n v="4.5999999999999996"/>
    <n v="798"/>
    <n v="32"/>
    <x v="7"/>
    <x v="0"/>
  </r>
  <r>
    <s v="Astrophysics for People in a Hurry"/>
    <s v="Neil deGrasse Tyson"/>
    <n v="4.7"/>
    <n v="9374"/>
    <n v="30"/>
    <x v="3"/>
    <x v="0"/>
  </r>
  <r>
    <s v="Autobiography of Mark Twain, Vol. 1"/>
    <s v="Mark Twain"/>
    <n v="4.2"/>
    <n v="491"/>
    <n v="30"/>
    <x v="6"/>
    <x v="0"/>
  </r>
  <r>
    <s v="Baby Touch and Feel: Animals"/>
    <s v="DK"/>
    <n v="4.5999999999999996"/>
    <n v="5360"/>
    <n v="30"/>
    <x v="8"/>
    <x v="0"/>
  </r>
  <r>
    <s v="Balance (Angie's Extreme Stress Menders)"/>
    <s v="Angie Grace"/>
    <n v="4.5999999999999996"/>
    <n v="1909"/>
    <n v="30"/>
    <x v="8"/>
    <x v="0"/>
  </r>
  <r>
    <s v="Barefoot Contessa Foolproof: Recipes You Can Trust: A Cookbook"/>
    <s v="Ina Garten"/>
    <n v="4.8"/>
    <n v="1296"/>
    <n v="30"/>
    <x v="10"/>
    <x v="0"/>
  </r>
  <r>
    <s v="Barefoot Contessa, How Easy Is That?: Fabulous Recipes &amp; Easy Tips"/>
    <s v="Ina Garten"/>
    <n v="4.7"/>
    <n v="615"/>
    <n v="28"/>
    <x v="6"/>
    <x v="0"/>
  </r>
  <r>
    <s v="Becoming"/>
    <s v="Michelle Obama"/>
    <n v="4.8"/>
    <n v="61133"/>
    <n v="28"/>
    <x v="2"/>
    <x v="0"/>
  </r>
  <r>
    <s v="Becoming"/>
    <s v="Michelle Obama"/>
    <n v="4.8"/>
    <n v="61133"/>
    <n v="28"/>
    <x v="4"/>
    <x v="0"/>
  </r>
  <r>
    <s v="Being Mortal: Medicine and What Matters in the End"/>
    <s v="Atul Gawande"/>
    <n v="4.8"/>
    <n v="11113"/>
    <n v="28"/>
    <x v="8"/>
    <x v="0"/>
  </r>
  <r>
    <s v="Between the World and Me"/>
    <s v="Ta-Nehisi Coates"/>
    <n v="4.7"/>
    <n v="10070"/>
    <n v="28"/>
    <x v="8"/>
    <x v="0"/>
  </r>
  <r>
    <s v="Between the World and Me"/>
    <s v="Ta-Nehisi Coates"/>
    <n v="4.7"/>
    <n v="10070"/>
    <n v="28"/>
    <x v="0"/>
    <x v="0"/>
  </r>
  <r>
    <s v="Born to Run"/>
    <s v="Bruce Springsteen"/>
    <n v="4.7"/>
    <n v="3729"/>
    <n v="27"/>
    <x v="0"/>
    <x v="0"/>
  </r>
  <r>
    <s v="Breaking Dawn (The Twilight Saga, Book 4)"/>
    <s v="Stephenie Meyer"/>
    <n v="4.5999999999999996"/>
    <n v="9769"/>
    <n v="27"/>
    <x v="7"/>
    <x v="1"/>
  </r>
  <r>
    <s v="Broke: The Plan to Restore Our Trust, Truth and Treasure"/>
    <s v="Glenn Beck"/>
    <n v="4.5"/>
    <n v="471"/>
    <n v="27"/>
    <x v="6"/>
    <x v="0"/>
  </r>
  <r>
    <s v="Brown Bear, Brown Bear, What Do You See?"/>
    <s v="Bill Martin Jr."/>
    <n v="4.9000000000000004"/>
    <n v="14344"/>
    <n v="27"/>
    <x v="3"/>
    <x v="1"/>
  </r>
  <r>
    <s v="Brown Bear, Brown Bear, What Do You See?"/>
    <s v="Bill Martin Jr."/>
    <n v="4.9000000000000004"/>
    <n v="14344"/>
    <n v="25"/>
    <x v="4"/>
    <x v="1"/>
  </r>
  <r>
    <s v="Cabin Fever (Diary of a Wimpy Kid, Book 6)"/>
    <s v="Jeff Kinney"/>
    <n v="4.8"/>
    <n v="4505"/>
    <n v="25"/>
    <x v="1"/>
    <x v="1"/>
  </r>
  <r>
    <s v="Calm the F*ck Down: An Irreverent Adult Coloring Book (Irreverent Book Series)"/>
    <s v="Sasha O'Hara"/>
    <n v="4.5999999999999996"/>
    <n v="10369"/>
    <n v="24"/>
    <x v="0"/>
    <x v="0"/>
  </r>
  <r>
    <s v="Can't Hurt Me: Master Your Mind and Defy the Odds"/>
    <s v="David Goggins"/>
    <n v="4.8"/>
    <n v="16244"/>
    <n v="24"/>
    <x v="4"/>
    <x v="0"/>
  </r>
  <r>
    <s v="Capital in the Twenty First Century"/>
    <s v="Thomas Piketty"/>
    <n v="4.5"/>
    <n v="2884"/>
    <n v="24"/>
    <x v="5"/>
    <x v="0"/>
  </r>
  <r>
    <s v="Catching Fire (The Hunger Games)"/>
    <s v="Suzanne Collins"/>
    <n v="4.7"/>
    <n v="22614"/>
    <n v="24"/>
    <x v="6"/>
    <x v="1"/>
  </r>
  <r>
    <s v="Catching Fire (The Hunger Games)"/>
    <s v="Suzanne Collins"/>
    <n v="4.7"/>
    <n v="22614"/>
    <n v="24"/>
    <x v="1"/>
    <x v="1"/>
  </r>
  <r>
    <s v="Catching Fire (The Hunger Games)"/>
    <s v="Suzanne Collins"/>
    <n v="4.7"/>
    <n v="22614"/>
    <n v="23"/>
    <x v="10"/>
    <x v="1"/>
  </r>
  <r>
    <s v="Cravings: Recipes for All the Food You Want to Eat: A Cookbook"/>
    <s v="Chrissy Teigen"/>
    <n v="4.7"/>
    <n v="4761"/>
    <n v="23"/>
    <x v="0"/>
    <x v="0"/>
  </r>
  <r>
    <s v="Crazy Love: Overwhelmed by a Relentless God"/>
    <s v="Francis Chan"/>
    <n v="4.7"/>
    <n v="1542"/>
    <n v="23"/>
    <x v="7"/>
    <x v="0"/>
  </r>
  <r>
    <s v="Crazy Love: Overwhelmed by a Relentless God"/>
    <s v="Francis Chan"/>
    <n v="4.7"/>
    <n v="1542"/>
    <n v="23"/>
    <x v="6"/>
    <x v="0"/>
  </r>
  <r>
    <s v="Crazy Love: Overwhelmed by a Relentless God"/>
    <s v="Francis Chan"/>
    <n v="4.7"/>
    <n v="1542"/>
    <n v="23"/>
    <x v="1"/>
    <x v="0"/>
  </r>
  <r>
    <s v="Crazy Rich Asians (Crazy Rich Asians Trilogy)"/>
    <s v="Kevin Kwan"/>
    <n v="4.3"/>
    <n v="6143"/>
    <n v="22"/>
    <x v="2"/>
    <x v="1"/>
  </r>
  <r>
    <s v="Creative Haven Creative Cats Coloring Book (Adult Coloring)"/>
    <s v="Marjorie Sarnat"/>
    <n v="4.8"/>
    <n v="4022"/>
    <n v="22"/>
    <x v="8"/>
    <x v="0"/>
  </r>
  <r>
    <s v="Creative Haven Owls Coloring Book (Adult Coloring)"/>
    <s v="Marjorie Sarnat"/>
    <n v="4.8"/>
    <n v="3871"/>
    <n v="22"/>
    <x v="8"/>
    <x v="0"/>
  </r>
  <r>
    <s v="Cutting for Stone"/>
    <s v="Abraham Verghese"/>
    <n v="4.5999999999999996"/>
    <n v="4866"/>
    <n v="22"/>
    <x v="6"/>
    <x v="1"/>
  </r>
  <r>
    <s v="Cutting for Stone"/>
    <s v="Abraham Verghese"/>
    <n v="4.5999999999999996"/>
    <n v="4866"/>
    <n v="22"/>
    <x v="1"/>
    <x v="1"/>
  </r>
  <r>
    <s v="Daring Greatly: How the Courage to Be Vulnerable Transforms the Way We Live, Love, Parent, and Lead"/>
    <s v="Brené Brown"/>
    <n v="4.8"/>
    <n v="1329"/>
    <n v="22"/>
    <x v="9"/>
    <x v="0"/>
  </r>
  <r>
    <s v="David and Goliath: Underdogs, Misfits, and the Art of Battling Giants"/>
    <s v="Malcolm Gladwell"/>
    <n v="4.4000000000000004"/>
    <n v="4642"/>
    <n v="21"/>
    <x v="9"/>
    <x v="0"/>
  </r>
  <r>
    <s v="Dead And Gone: A Sookie Stackhouse Novel (Sookie Stackhouse/True Blood)"/>
    <s v="Charlaine Harris"/>
    <n v="4.5999999999999996"/>
    <n v="1541"/>
    <n v="21"/>
    <x v="7"/>
    <x v="1"/>
  </r>
  <r>
    <s v="Dead in the Family (Sookie Stackhouse/True Blood, Book 10)"/>
    <s v="Charlaine Harris"/>
    <n v="4.3"/>
    <n v="1924"/>
    <n v="21"/>
    <x v="6"/>
    <x v="1"/>
  </r>
  <r>
    <s v="Dead Reckoning (Sookie Stackhouse/True Blood, Book 11)"/>
    <s v="Charlaine Harris"/>
    <n v="4.2"/>
    <n v="2094"/>
    <n v="21"/>
    <x v="1"/>
    <x v="1"/>
  </r>
  <r>
    <s v="Dear Zoo: A Lift-the-Flap Book"/>
    <s v="Rod Campbell"/>
    <n v="4.8"/>
    <n v="10922"/>
    <n v="21"/>
    <x v="8"/>
    <x v="1"/>
  </r>
  <r>
    <s v="Dear Zoo: A Lift-the-Flap Book"/>
    <s v="Rod Campbell"/>
    <n v="4.8"/>
    <n v="10922"/>
    <n v="21"/>
    <x v="0"/>
    <x v="1"/>
  </r>
  <r>
    <s v="Dear Zoo: A Lift-the-Flap Book"/>
    <s v="Rod Campbell"/>
    <n v="4.8"/>
    <n v="10922"/>
    <n v="21"/>
    <x v="3"/>
    <x v="1"/>
  </r>
  <r>
    <s v="Dear Zoo: A Lift-the-Flap Book"/>
    <s v="Rod Campbell"/>
    <n v="4.8"/>
    <n v="10922"/>
    <n v="21"/>
    <x v="2"/>
    <x v="1"/>
  </r>
  <r>
    <s v="Decision Points"/>
    <s v="George W. Bush"/>
    <n v="4.5999999999999996"/>
    <n v="2137"/>
    <n v="21"/>
    <x v="6"/>
    <x v="0"/>
  </r>
  <r>
    <s v="Delivering Happiness: A Path to Profits, Passion, and Purpose"/>
    <s v="Tony Hsieh"/>
    <n v="4.5999999999999996"/>
    <n v="1651"/>
    <n v="20"/>
    <x v="6"/>
    <x v="0"/>
  </r>
  <r>
    <s v="Diagnostic and Statistical Manual of Mental Disorders, 5th Edition: DSM-5"/>
    <s v="American Psychiatric Association"/>
    <n v="4.5"/>
    <n v="6679"/>
    <n v="20"/>
    <x v="9"/>
    <x v="0"/>
  </r>
  <r>
    <s v="Diagnostic and Statistical Manual of Mental Disorders, 5th Edition: DSM-5"/>
    <s v="American Psychiatric Association"/>
    <n v="4.5"/>
    <n v="6679"/>
    <n v="20"/>
    <x v="5"/>
    <x v="0"/>
  </r>
  <r>
    <s v="Diary of a Wimpy Kid: Hard Luck, Book 8"/>
    <s v="Jeff Kinney"/>
    <n v="4.8"/>
    <n v="6812"/>
    <n v="20"/>
    <x v="9"/>
    <x v="1"/>
  </r>
  <r>
    <s v="Diary of a Wimpy Kid: The Last Straw (Book 3)"/>
    <s v="Jeff Kinney"/>
    <n v="4.8"/>
    <n v="3837"/>
    <n v="20"/>
    <x v="7"/>
    <x v="1"/>
  </r>
  <r>
    <s v="Diary of a Wimpy Kid: The Long Haul"/>
    <s v="Jeff Kinney"/>
    <n v="4.8"/>
    <n v="6540"/>
    <n v="20"/>
    <x v="5"/>
    <x v="1"/>
  </r>
  <r>
    <s v="Difficult Riddles For Smart Kids: 300 Difficult Riddles And Brain Teasers Families Will Love (Books for Smart Kids)"/>
    <s v="M Prefontaine"/>
    <n v="4.5999999999999996"/>
    <n v="7955"/>
    <n v="20"/>
    <x v="4"/>
    <x v="0"/>
  </r>
  <r>
    <s v="Divergent"/>
    <s v="Veronica Roth"/>
    <n v="4.5999999999999996"/>
    <n v="27098"/>
    <n v="20"/>
    <x v="9"/>
    <x v="1"/>
  </r>
  <r>
    <s v="Divergent"/>
    <s v="Veronica Roth"/>
    <n v="4.5999999999999996"/>
    <n v="27098"/>
    <n v="20"/>
    <x v="5"/>
    <x v="1"/>
  </r>
  <r>
    <s v="Divergent / Insurgent"/>
    <s v="Veronica Roth"/>
    <n v="4.5"/>
    <n v="17684"/>
    <n v="20"/>
    <x v="5"/>
    <x v="1"/>
  </r>
  <r>
    <s v="Divine Soul Mind Body Healing and Transmission System: The Divine Way to Heal You, Humanity, Mother Earth, and All…"/>
    <s v="Zhi Gang Sha"/>
    <n v="4.5999999999999996"/>
    <n v="37"/>
    <n v="20"/>
    <x v="7"/>
    <x v="0"/>
  </r>
  <r>
    <s v="Doctor Sleep: A Novel"/>
    <s v="Stephen King"/>
    <n v="4.7"/>
    <n v="15845"/>
    <n v="20"/>
    <x v="9"/>
    <x v="1"/>
  </r>
  <r>
    <s v="Dog Days (Diary of a Wimpy Kid, Book 4) (Volume 4)"/>
    <s v="Jeff Kinney"/>
    <n v="4.8"/>
    <n v="3181"/>
    <n v="20"/>
    <x v="7"/>
    <x v="1"/>
  </r>
  <r>
    <s v="Dog Man and Cat Kid: From the Creator of Captain Underpants (Dog Man #4)"/>
    <s v="Dav Pilkey"/>
    <n v="4.9000000000000004"/>
    <n v="5062"/>
    <n v="20"/>
    <x v="2"/>
    <x v="1"/>
  </r>
  <r>
    <s v="Dog Man: A Tale of Two Kitties: From the Creator of Captain Underpants (Dog Man #3)"/>
    <s v="Dav Pilkey"/>
    <n v="4.9000000000000004"/>
    <n v="4786"/>
    <n v="20"/>
    <x v="3"/>
    <x v="1"/>
  </r>
  <r>
    <s v="Dog Man: Brawl of the Wild: From the Creator of Captain Underpants (Dog Man #6)"/>
    <s v="Dav Pilkey"/>
    <n v="4.9000000000000004"/>
    <n v="7235"/>
    <n v="20"/>
    <x v="2"/>
    <x v="1"/>
  </r>
  <r>
    <s v="Dog Man: Brawl of the Wild: From the Creator of Captain Underpants (Dog Man #6)"/>
    <s v="Dav Pilkey"/>
    <n v="4.9000000000000004"/>
    <n v="7235"/>
    <n v="20"/>
    <x v="4"/>
    <x v="1"/>
  </r>
  <r>
    <s v="Dog Man: Fetch-22: From the Creator of Captain Underpants (Dog Man #8)"/>
    <s v="Dav Pilkey"/>
    <n v="4.9000000000000004"/>
    <n v="12619"/>
    <n v="19"/>
    <x v="4"/>
    <x v="1"/>
  </r>
  <r>
    <s v="Dog Man: For Whom the Ball Rolls: From the Creator of Captain Underpants (Dog Man #7)"/>
    <s v="Dav Pilkey"/>
    <n v="4.9000000000000004"/>
    <n v="9089"/>
    <n v="19"/>
    <x v="4"/>
    <x v="1"/>
  </r>
  <r>
    <s v="Dog Man: Lord of the Fleas: From the Creator of Captain Underpants (Dog Man #5)"/>
    <s v="Dav Pilkey"/>
    <n v="4.9000000000000004"/>
    <n v="5470"/>
    <n v="19"/>
    <x v="2"/>
    <x v="1"/>
  </r>
  <r>
    <s v="Double Down (Diary of a Wimpy Kid #11)"/>
    <s v="Jeff Kinney"/>
    <n v="4.8"/>
    <n v="5118"/>
    <n v="19"/>
    <x v="0"/>
    <x v="1"/>
  </r>
  <r>
    <s v="Dover Creative Haven Art Nouveau Animal Designs Coloring Book (Creative Haven Coloring Books)"/>
    <s v="Marty Noble"/>
    <n v="4.5999999999999996"/>
    <n v="2134"/>
    <n v="18"/>
    <x v="8"/>
    <x v="0"/>
  </r>
  <r>
    <s v="Drive: The Surprising Truth About What Motivates Us"/>
    <s v="Daniel H. Pink"/>
    <n v="4.5"/>
    <n v="2525"/>
    <n v="18"/>
    <x v="6"/>
    <x v="0"/>
  </r>
  <r>
    <s v="Eat This Not That! Supermarket Survival Guide: The No-Diet Weight Loss Solution"/>
    <s v="David Zinczenko"/>
    <n v="4.5"/>
    <n v="720"/>
    <n v="18"/>
    <x v="7"/>
    <x v="0"/>
  </r>
  <r>
    <s v="Eat This, Not That! Thousands of Simple Food Swaps that Can Save You 10, 20, 30 Pounds--or More!"/>
    <s v="David Zinczenko"/>
    <n v="4.3"/>
    <n v="956"/>
    <n v="18"/>
    <x v="7"/>
    <x v="0"/>
  </r>
  <r>
    <s v="Eat to Live: The Amazing Nutrient-Rich Program for Fast and Sustained Weight Loss, Revised Edition"/>
    <s v="Joel Fuhrman MD"/>
    <n v="4.5"/>
    <n v="6346"/>
    <n v="18"/>
    <x v="1"/>
    <x v="0"/>
  </r>
  <r>
    <s v="Eat to Live: The Amazing Nutrient-Rich Program for Fast and Sustained Weight Loss, Revised Edition"/>
    <s v="Joel Fuhrman MD"/>
    <n v="4.5"/>
    <n v="6346"/>
    <n v="18"/>
    <x v="10"/>
    <x v="0"/>
  </r>
  <r>
    <s v="Eclipse (Twilight Sagas)"/>
    <s v="Stephenie Meyer"/>
    <n v="4.7"/>
    <n v="5505"/>
    <n v="18"/>
    <x v="7"/>
    <x v="1"/>
  </r>
  <r>
    <s v="Eclipse (Twilight)"/>
    <s v="Stephenie Meyer"/>
    <n v="4.7"/>
    <n v="5505"/>
    <n v="18"/>
    <x v="7"/>
    <x v="1"/>
  </r>
  <r>
    <s v="Educated: A Memoir"/>
    <s v="Tara Westover"/>
    <n v="4.7"/>
    <n v="28729"/>
    <n v="18"/>
    <x v="2"/>
    <x v="0"/>
  </r>
  <r>
    <s v="Educated: A Memoir"/>
    <s v="Tara Westover"/>
    <n v="4.7"/>
    <n v="28729"/>
    <n v="18"/>
    <x v="4"/>
    <x v="0"/>
  </r>
  <r>
    <s v="Enchanted Forest: An Inky Quest and Coloring book (Activity Books, Mindfulness and Meditation, Illustrated Floral Prints…"/>
    <s v="Johanna Basford"/>
    <n v="4.7"/>
    <n v="5413"/>
    <n v="18"/>
    <x v="8"/>
    <x v="0"/>
  </r>
  <r>
    <s v="Fahrenheit 451"/>
    <s v="Ray Bradbury"/>
    <n v="4.5999999999999996"/>
    <n v="10721"/>
    <n v="18"/>
    <x v="0"/>
    <x v="1"/>
  </r>
  <r>
    <s v="Fahrenheit 451"/>
    <s v="Ray Bradbury"/>
    <n v="4.5999999999999996"/>
    <n v="10721"/>
    <n v="18"/>
    <x v="2"/>
    <x v="1"/>
  </r>
  <r>
    <s v="Fantastic Beasts and Where to Find Them: The Original Screenplay (Harry Potter)"/>
    <s v="J.K. Rowling"/>
    <n v="4.7"/>
    <n v="4370"/>
    <n v="18"/>
    <x v="0"/>
    <x v="1"/>
  </r>
  <r>
    <s v="Fear: Trump in the White House"/>
    <s v="Bob Woodward"/>
    <n v="4.4000000000000004"/>
    <n v="6042"/>
    <n v="17"/>
    <x v="2"/>
    <x v="0"/>
  </r>
  <r>
    <s v="Fifty Shades Darker"/>
    <s v="E L James"/>
    <n v="4.4000000000000004"/>
    <n v="23631"/>
    <n v="17"/>
    <x v="10"/>
    <x v="1"/>
  </r>
  <r>
    <s v="Fifty Shades Freed: Book Three of the Fifty Shades Trilogy (Fifty Shades of Grey Series) (English Edition)"/>
    <s v="E L James"/>
    <n v="4.5"/>
    <n v="20262"/>
    <n v="17"/>
    <x v="10"/>
    <x v="1"/>
  </r>
  <r>
    <s v="Fifty Shades of Grey: Book One of the Fifty Shades Trilogy (Fifty Shades of Grey Series)"/>
    <s v="E L James"/>
    <n v="3.8"/>
    <n v="47265"/>
    <n v="17"/>
    <x v="10"/>
    <x v="1"/>
  </r>
  <r>
    <s v="Fifty Shades of Grey: Book One of the Fifty Shades Trilogy (Fifty Shades of Grey Series)"/>
    <s v="E L James"/>
    <n v="3.8"/>
    <n v="47265"/>
    <n v="17"/>
    <x v="9"/>
    <x v="1"/>
  </r>
  <r>
    <s v="Fifty Shades Trilogy (Fifty Shades of Grey / Fifty Shades Darker / Fifty Shades Freed)"/>
    <s v="E L James"/>
    <n v="4.5"/>
    <n v="13964"/>
    <n v="17"/>
    <x v="10"/>
    <x v="1"/>
  </r>
  <r>
    <s v="Fire and Fury: Inside the Trump White House"/>
    <s v="Michael Wolff"/>
    <n v="4.2"/>
    <n v="13677"/>
    <n v="17"/>
    <x v="2"/>
    <x v="0"/>
  </r>
  <r>
    <s v="First 100 Words"/>
    <s v="Roger Priddy"/>
    <n v="4.7"/>
    <n v="17323"/>
    <n v="17"/>
    <x v="5"/>
    <x v="0"/>
  </r>
  <r>
    <s v="First 100 Words"/>
    <s v="Roger Priddy"/>
    <n v="4.7"/>
    <n v="17323"/>
    <n v="17"/>
    <x v="8"/>
    <x v="0"/>
  </r>
  <r>
    <s v="First 100 Words"/>
    <s v="Roger Priddy"/>
    <n v="4.7"/>
    <n v="17323"/>
    <n v="17"/>
    <x v="0"/>
    <x v="0"/>
  </r>
  <r>
    <s v="First 100 Words"/>
    <s v="Roger Priddy"/>
    <n v="4.7"/>
    <n v="17323"/>
    <n v="17"/>
    <x v="3"/>
    <x v="0"/>
  </r>
  <r>
    <s v="First 100 Words"/>
    <s v="Roger Priddy"/>
    <n v="4.7"/>
    <n v="17323"/>
    <n v="17"/>
    <x v="2"/>
    <x v="0"/>
  </r>
  <r>
    <s v="Food Rules: An Eater's Manual"/>
    <s v="Michael Pollan"/>
    <n v="4.4000000000000004"/>
    <n v="1555"/>
    <n v="17"/>
    <x v="6"/>
    <x v="0"/>
  </r>
  <r>
    <s v="Frozen (Little Golden Book)"/>
    <s v="RH Disney"/>
    <n v="4.7"/>
    <n v="3642"/>
    <n v="17"/>
    <x v="5"/>
    <x v="1"/>
  </r>
  <r>
    <s v="Game Change: Obama and the Clintons, McCain and Palin, and the Race of a Lifetime"/>
    <s v="John Heilemann"/>
    <n v="4.4000000000000004"/>
    <n v="1215"/>
    <n v="17"/>
    <x v="6"/>
    <x v="0"/>
  </r>
  <r>
    <s v="Game of Thrones Boxed Set: A Game of Thrones/A Clash of Kings/A Storm of Swords/A Feast for Crows"/>
    <s v="George R.R. Martin"/>
    <n v="4.5999999999999996"/>
    <n v="5594"/>
    <n v="17"/>
    <x v="1"/>
    <x v="1"/>
  </r>
  <r>
    <s v="Game of Thrones Boxed Set: A Game of Thrones/A Clash of Kings/A Storm of Swords/A Feast for Crows"/>
    <s v="George R.R. Martin"/>
    <n v="4.5999999999999996"/>
    <n v="5594"/>
    <n v="17"/>
    <x v="10"/>
    <x v="1"/>
  </r>
  <r>
    <s v="Game of Thrones Boxed Set: A Game of Thrones/A Clash of Kings/A Storm of Swords/A Feast for Crows"/>
    <s v="George R.R. Martin"/>
    <n v="4.5999999999999996"/>
    <n v="5594"/>
    <n v="17"/>
    <x v="9"/>
    <x v="1"/>
  </r>
  <r>
    <s v="George Washington's Sacred Fire"/>
    <s v="Peter A. Lillback"/>
    <n v="4.5"/>
    <n v="408"/>
    <n v="17"/>
    <x v="6"/>
    <x v="0"/>
  </r>
  <r>
    <s v="George Washington's Secret Six: The Spy Ring That Saved the American Revolution"/>
    <s v="Brian Kilmeade"/>
    <n v="4.5999999999999996"/>
    <n v="4799"/>
    <n v="16"/>
    <x v="9"/>
    <x v="0"/>
  </r>
  <r>
    <s v="Giraffes Can't Dance"/>
    <s v="Giles Andreae"/>
    <n v="4.8"/>
    <n v="14038"/>
    <n v="16"/>
    <x v="8"/>
    <x v="1"/>
  </r>
  <r>
    <s v="Giraffes Can't Dance"/>
    <s v="Giles Andreae"/>
    <n v="4.8"/>
    <n v="14038"/>
    <n v="16"/>
    <x v="0"/>
    <x v="1"/>
  </r>
  <r>
    <s v="Giraffes Can't Dance"/>
    <s v="Giles Andreae"/>
    <n v="4.8"/>
    <n v="14038"/>
    <n v="16"/>
    <x v="3"/>
    <x v="1"/>
  </r>
  <r>
    <s v="Giraffes Can't Dance"/>
    <s v="Giles Andreae"/>
    <n v="4.8"/>
    <n v="14038"/>
    <n v="16"/>
    <x v="2"/>
    <x v="1"/>
  </r>
  <r>
    <s v="Giraffes Can't Dance"/>
    <s v="Giles Andreae"/>
    <n v="4.8"/>
    <n v="14038"/>
    <n v="16"/>
    <x v="4"/>
    <x v="1"/>
  </r>
  <r>
    <s v="Girl, Stop Apologizing: A Shame-Free Plan for Embracing and Achieving Your Goals"/>
    <s v="Rachel Hollis"/>
    <n v="4.5999999999999996"/>
    <n v="7660"/>
    <n v="16"/>
    <x v="4"/>
    <x v="0"/>
  </r>
  <r>
    <s v="Girl, Wash Your Face: Stop Believing the Lies About Who You Are So You Can Become Who You Were Meant to Be"/>
    <s v="Rachel Hollis"/>
    <n v="4.5999999999999996"/>
    <n v="22288"/>
    <n v="16"/>
    <x v="2"/>
    <x v="0"/>
  </r>
  <r>
    <s v="Girl, Wash Your Face: Stop Believing the Lies About Who You Are So You Can Become Who You Were Meant to Be"/>
    <s v="Rachel Hollis"/>
    <n v="4.5999999999999996"/>
    <n v="22288"/>
    <n v="16"/>
    <x v="4"/>
    <x v="0"/>
  </r>
  <r>
    <s v="Glenn Beck's Common Sense: The Case Against an Out-of-Control Government, Inspired by Thomas Paine"/>
    <s v="Glenn Beck"/>
    <n v="4.5999999999999996"/>
    <n v="1365"/>
    <n v="16"/>
    <x v="7"/>
    <x v="0"/>
  </r>
  <r>
    <s v="Go Set a Watchman: A Novel"/>
    <s v="Harper Lee"/>
    <n v="3.6"/>
    <n v="14982"/>
    <n v="16"/>
    <x v="8"/>
    <x v="1"/>
  </r>
  <r>
    <s v="Go the F**k to Sleep"/>
    <s v="Adam Mansbach"/>
    <n v="4.8"/>
    <n v="9568"/>
    <n v="16"/>
    <x v="1"/>
    <x v="1"/>
  </r>
  <r>
    <s v="Going Rogue: An American Life"/>
    <s v="Sarah Palin"/>
    <n v="4.5999999999999996"/>
    <n v="1636"/>
    <n v="16"/>
    <x v="7"/>
    <x v="0"/>
  </r>
  <r>
    <s v="Gone Girl"/>
    <s v="Gillian Flynn"/>
    <n v="4"/>
    <n v="57271"/>
    <n v="16"/>
    <x v="10"/>
    <x v="1"/>
  </r>
  <r>
    <s v="Gone Girl"/>
    <s v="Gillian Flynn"/>
    <n v="4"/>
    <n v="57271"/>
    <n v="16"/>
    <x v="9"/>
    <x v="1"/>
  </r>
  <r>
    <s v="Gone Girl"/>
    <s v="Gillian Flynn"/>
    <n v="4"/>
    <n v="57271"/>
    <n v="16"/>
    <x v="5"/>
    <x v="1"/>
  </r>
  <r>
    <s v="Good Days Start With Gratitude: A 52 Week Guide To Cultivate An Attitude Of Gratitude: Gratitude Journal"/>
    <s v="Pretty Simple Press"/>
    <n v="4.5999999999999996"/>
    <n v="10141"/>
    <n v="16"/>
    <x v="4"/>
    <x v="0"/>
  </r>
  <r>
    <s v="Good to Great: Why Some Companies Make the Leap and Others Don't"/>
    <s v="Jim Collins"/>
    <n v="4.5"/>
    <n v="3457"/>
    <n v="16"/>
    <x v="7"/>
    <x v="0"/>
  </r>
  <r>
    <s v="Good to Great: Why Some Companies Make the Leap and Others Don't"/>
    <s v="Jim Collins"/>
    <n v="4.5"/>
    <n v="3457"/>
    <n v="16"/>
    <x v="6"/>
    <x v="0"/>
  </r>
  <r>
    <s v="Good to Great: Why Some Companies Make the Leap and Others Don't"/>
    <s v="Jim Collins"/>
    <n v="4.5"/>
    <n v="3457"/>
    <n v="16"/>
    <x v="1"/>
    <x v="0"/>
  </r>
  <r>
    <s v="Good to Great: Why Some Companies Make the Leap and Others Don't"/>
    <s v="Jim Collins"/>
    <n v="4.5"/>
    <n v="3457"/>
    <n v="15"/>
    <x v="10"/>
    <x v="0"/>
  </r>
  <r>
    <s v="Goodnight Moon"/>
    <s v="Margaret Wise Brown"/>
    <n v="4.8"/>
    <n v="8837"/>
    <n v="15"/>
    <x v="3"/>
    <x v="1"/>
  </r>
  <r>
    <s v="Goodnight Moon"/>
    <s v="Margaret Wise Brown"/>
    <n v="4.8"/>
    <n v="8837"/>
    <n v="15"/>
    <x v="2"/>
    <x v="1"/>
  </r>
  <r>
    <s v="Goodnight Moon"/>
    <s v="Margaret Wise Brown"/>
    <n v="4.8"/>
    <n v="8837"/>
    <n v="15"/>
    <x v="4"/>
    <x v="1"/>
  </r>
  <r>
    <s v="Goodnight, Goodnight Construction Site (Hardcover Books for Toddlers, Preschool Books for Kids)"/>
    <s v="Sherri Duskey Rinker"/>
    <n v="4.9000000000000004"/>
    <n v="7038"/>
    <n v="15"/>
    <x v="10"/>
    <x v="1"/>
  </r>
  <r>
    <s v="Goodnight, Goodnight Construction Site (Hardcover Books for Toddlers, Preschool Books for Kids)"/>
    <s v="Sherri Duskey Rinker"/>
    <n v="4.9000000000000004"/>
    <n v="7038"/>
    <n v="15"/>
    <x v="9"/>
    <x v="1"/>
  </r>
  <r>
    <s v="Grain Brain: The Surprising Truth about Wheat, Carbs, and Sugar--Your Brain's Silent Killers"/>
    <s v="David Perlmutter MD"/>
    <n v="4.5999999999999996"/>
    <n v="5972"/>
    <n v="15"/>
    <x v="5"/>
    <x v="0"/>
  </r>
  <r>
    <s v="Grey: Fifty Shades of Grey as Told by Christian (Fifty Shades of Grey Series)"/>
    <s v="E L James"/>
    <n v="4.4000000000000004"/>
    <n v="25624"/>
    <n v="15"/>
    <x v="8"/>
    <x v="1"/>
  </r>
  <r>
    <s v="Guts"/>
    <s v="Raina Telgemeier"/>
    <n v="4.8"/>
    <n v="5476"/>
    <n v="15"/>
    <x v="4"/>
    <x v="0"/>
  </r>
  <r>
    <s v="Hamilton: The Revolution"/>
    <s v="Lin-Manuel Miranda"/>
    <n v="4.9000000000000004"/>
    <n v="5867"/>
    <n v="15"/>
    <x v="0"/>
    <x v="0"/>
  </r>
  <r>
    <s v="Happy, Happy, Happy: My Life and Legacy as the Duck Commander"/>
    <s v="Phil Robertson"/>
    <n v="4.8"/>
    <n v="4148"/>
    <n v="15"/>
    <x v="9"/>
    <x v="0"/>
  </r>
  <r>
    <s v="Harry Potter and the Chamber of Secrets: The Illustrated Edition (Harry Potter, Book 2)"/>
    <s v="J.K. Rowling"/>
    <n v="4.9000000000000004"/>
    <n v="19622"/>
    <n v="15"/>
    <x v="0"/>
    <x v="1"/>
  </r>
  <r>
    <s v="Harry Potter and the Cursed Child, Parts 1 &amp; 2, Special Rehearsal Edition Script"/>
    <s v="J.K. Rowling"/>
    <n v="4"/>
    <n v="23973"/>
    <n v="15"/>
    <x v="0"/>
    <x v="1"/>
  </r>
  <r>
    <s v="Harry Potter and the Goblet of Fire: The Illustrated Edition (Harry Potter, Book 4) (4)"/>
    <s v="J. K. Rowling"/>
    <n v="4.9000000000000004"/>
    <n v="7758"/>
    <n v="15"/>
    <x v="4"/>
    <x v="1"/>
  </r>
  <r>
    <s v="Harry Potter and the Prisoner of Azkaban: The Illustrated Edition (Harry Potter, Book 3)"/>
    <s v="J.K. Rowling"/>
    <n v="4.9000000000000004"/>
    <n v="3146"/>
    <n v="15"/>
    <x v="3"/>
    <x v="1"/>
  </r>
  <r>
    <s v="Harry Potter and the Sorcerer's Stone: The Illustrated Edition (Harry Potter, Book 1)"/>
    <s v="J.K. Rowling"/>
    <n v="4.9000000000000004"/>
    <n v="10052"/>
    <n v="15"/>
    <x v="0"/>
    <x v="1"/>
  </r>
  <r>
    <s v="Harry Potter Coloring Book"/>
    <s v="Scholastic"/>
    <n v="4.7"/>
    <n v="3564"/>
    <n v="15"/>
    <x v="8"/>
    <x v="0"/>
  </r>
  <r>
    <s v="Harry Potter Paperback Box Set (Books 1-7)"/>
    <s v="J. K. Rowling"/>
    <n v="4.8"/>
    <n v="13471"/>
    <n v="15"/>
    <x v="0"/>
    <x v="1"/>
  </r>
  <r>
    <s v="Have a Little Faith: A True Story"/>
    <s v="Mitch Albom"/>
    <n v="4.8"/>
    <n v="1930"/>
    <n v="15"/>
    <x v="7"/>
    <x v="0"/>
  </r>
  <r>
    <s v="Heaven is for Real: A Little Boy's Astounding Story of His Trip to Heaven and Back"/>
    <s v="Todd Burpo"/>
    <n v="4.7"/>
    <n v="15779"/>
    <n v="15"/>
    <x v="1"/>
    <x v="0"/>
  </r>
  <r>
    <s v="Heaven is for Real: A Little Boy's Astounding Story of His Trip to Heaven and Back"/>
    <s v="Todd Burpo"/>
    <n v="4.7"/>
    <n v="15779"/>
    <n v="15"/>
    <x v="10"/>
    <x v="0"/>
  </r>
  <r>
    <s v="Hillbilly Elegy: A Memoir of a Family and Culture in Crisis"/>
    <s v="J. D. Vance"/>
    <n v="4.4000000000000004"/>
    <n v="15526"/>
    <n v="14"/>
    <x v="0"/>
    <x v="0"/>
  </r>
  <r>
    <s v="Hillbilly Elegy: A Memoir of a Family and Culture in Crisis"/>
    <s v="J. D. Vance"/>
    <n v="4.4000000000000004"/>
    <n v="15526"/>
    <n v="14"/>
    <x v="3"/>
    <x v="0"/>
  </r>
  <r>
    <s v="Homebody: A Guide to Creating Spaces You Never Want to Leave"/>
    <s v="Joanna Gaines"/>
    <n v="4.8"/>
    <n v="3776"/>
    <n v="14"/>
    <x v="2"/>
    <x v="0"/>
  </r>
  <r>
    <s v="How to Win Friends &amp; Influence People"/>
    <s v="Dale Carnegie"/>
    <n v="4.7"/>
    <n v="25001"/>
    <n v="14"/>
    <x v="5"/>
    <x v="0"/>
  </r>
  <r>
    <s v="How to Win Friends &amp; Influence People"/>
    <s v="Dale Carnegie"/>
    <n v="4.7"/>
    <n v="25001"/>
    <n v="14"/>
    <x v="8"/>
    <x v="0"/>
  </r>
  <r>
    <s v="How to Win Friends &amp; Influence People"/>
    <s v="Dale Carnegie"/>
    <n v="4.7"/>
    <n v="25001"/>
    <n v="14"/>
    <x v="0"/>
    <x v="0"/>
  </r>
  <r>
    <s v="How to Win Friends &amp; Influence People"/>
    <s v="Dale Carnegie"/>
    <n v="4.7"/>
    <n v="25001"/>
    <n v="14"/>
    <x v="3"/>
    <x v="0"/>
  </r>
  <r>
    <s v="How to Win Friends &amp; Influence People"/>
    <s v="Dale Carnegie"/>
    <n v="4.7"/>
    <n v="25001"/>
    <n v="14"/>
    <x v="2"/>
    <x v="0"/>
  </r>
  <r>
    <s v="Howard Stern Comes Again"/>
    <s v="Howard Stern"/>
    <n v="4.3"/>
    <n v="5272"/>
    <n v="14"/>
    <x v="4"/>
    <x v="0"/>
  </r>
  <r>
    <s v="Humans of New York"/>
    <s v="Brandon Stanton"/>
    <n v="4.8"/>
    <n v="3490"/>
    <n v="14"/>
    <x v="9"/>
    <x v="0"/>
  </r>
  <r>
    <s v="Humans of New York"/>
    <s v="Brandon Stanton"/>
    <n v="4.8"/>
    <n v="3490"/>
    <n v="14"/>
    <x v="5"/>
    <x v="0"/>
  </r>
  <r>
    <s v="Humans of New York : Stories"/>
    <s v="Brandon Stanton"/>
    <n v="4.9000000000000004"/>
    <n v="2812"/>
    <n v="14"/>
    <x v="8"/>
    <x v="0"/>
  </r>
  <r>
    <s v="Hyperbole and a Half: Unfortunate Situations, Flawed Coping Mechanisms, Mayhem, and Other Things That Happened"/>
    <s v="Allie Brosh"/>
    <n v="4.7"/>
    <n v="4896"/>
    <n v="14"/>
    <x v="9"/>
    <x v="0"/>
  </r>
  <r>
    <s v="I Am Confident, Brave &amp; Beautiful: A Coloring Book for Girls"/>
    <s v="Hopscotch Girls"/>
    <n v="4.8"/>
    <n v="9737"/>
    <n v="14"/>
    <x v="4"/>
    <x v="0"/>
  </r>
  <r>
    <s v="I, Alex Cross"/>
    <s v="James Patterson"/>
    <n v="4.5999999999999996"/>
    <n v="1320"/>
    <n v="14"/>
    <x v="7"/>
    <x v="1"/>
  </r>
  <r>
    <s v="If Animals Kissed Good Night"/>
    <s v="Ann Whitford Paul"/>
    <n v="4.8"/>
    <n v="16643"/>
    <n v="14"/>
    <x v="3"/>
    <x v="1"/>
  </r>
  <r>
    <s v="If Animals Kissed Good Night"/>
    <s v="Ann Whitford Paul"/>
    <n v="4.8"/>
    <n v="16643"/>
    <n v="14"/>
    <x v="4"/>
    <x v="1"/>
  </r>
  <r>
    <s v="If I Stay"/>
    <s v="Gayle Forman"/>
    <n v="4.3"/>
    <n v="7153"/>
    <n v="14"/>
    <x v="5"/>
    <x v="1"/>
  </r>
  <r>
    <s v="In the Garden of Beasts: Love, Terror, and an American Family in Hitler's Berlin"/>
    <s v="Eric Larson"/>
    <n v="4.4000000000000004"/>
    <n v="4571"/>
    <n v="14"/>
    <x v="1"/>
    <x v="0"/>
  </r>
  <r>
    <s v="Inferno"/>
    <s v="Dan Brown"/>
    <n v="4.0999999999999996"/>
    <n v="29651"/>
    <n v="14"/>
    <x v="9"/>
    <x v="1"/>
  </r>
  <r>
    <s v="Inheritance: Book IV (Inheritance Cycle)"/>
    <s v="Christopher Paolini"/>
    <n v="4.5999999999999996"/>
    <n v="5299"/>
    <n v="14"/>
    <x v="1"/>
    <x v="1"/>
  </r>
  <r>
    <s v="Instant Pot Pressure Cooker Cookbook: 500 Everyday Recipes for Beginners and Advanced Users. Try Easy and Healthy…"/>
    <s v="Jennifer Smith"/>
    <n v="4.4000000000000004"/>
    <n v="7396"/>
    <n v="14"/>
    <x v="4"/>
    <x v="0"/>
  </r>
  <r>
    <s v="Instant Pot Pressure Cooker Cookbook: 500 Everyday Recipes for Beginners and Advanced Users. Try Easy and Healthy…"/>
    <s v="Jennifer Smith"/>
    <n v="4.4000000000000004"/>
    <n v="7396"/>
    <n v="14"/>
    <x v="2"/>
    <x v="0"/>
  </r>
  <r>
    <s v="It's Not Supposed to Be This Way: Finding Unexpected Strength When Disappointments Leave You Shattered"/>
    <s v="Lysa TerKeurst"/>
    <n v="4.8"/>
    <n v="7062"/>
    <n v="14"/>
    <x v="4"/>
    <x v="0"/>
  </r>
  <r>
    <s v="Jesus Calling: Enjoying Peace in His Presence (with Scripture References)"/>
    <s v="Sarah Young"/>
    <n v="4.9000000000000004"/>
    <n v="19576"/>
    <n v="14"/>
    <x v="1"/>
    <x v="0"/>
  </r>
  <r>
    <s v="Jesus Calling: Enjoying Peace in His Presence (with Scripture References)"/>
    <s v="Sarah Young"/>
    <n v="4.9000000000000004"/>
    <n v="19576"/>
    <n v="14"/>
    <x v="10"/>
    <x v="0"/>
  </r>
  <r>
    <s v="Jesus Calling: Enjoying Peace in His Presence (with Scripture References)"/>
    <s v="Sarah Young"/>
    <n v="4.9000000000000004"/>
    <n v="19576"/>
    <n v="14"/>
    <x v="9"/>
    <x v="0"/>
  </r>
  <r>
    <s v="Jesus Calling: Enjoying Peace in His Presence (with Scripture References)"/>
    <s v="Sarah Young"/>
    <n v="4.9000000000000004"/>
    <n v="19576"/>
    <n v="14"/>
    <x v="5"/>
    <x v="0"/>
  </r>
  <r>
    <s v="Jesus Calling: Enjoying Peace in His Presence (with Scripture References)"/>
    <s v="Sarah Young"/>
    <n v="4.9000000000000004"/>
    <n v="19576"/>
    <n v="14"/>
    <x v="8"/>
    <x v="0"/>
  </r>
  <r>
    <s v="Jesus Calling: Enjoying Peace in His Presence (with Scripture References)"/>
    <s v="Sarah Young"/>
    <n v="4.9000000000000004"/>
    <n v="19576"/>
    <n v="14"/>
    <x v="0"/>
    <x v="0"/>
  </r>
  <r>
    <s v="JOURNEY TO THE ICE P"/>
    <s v="RH Disney"/>
    <n v="4.5999999999999996"/>
    <n v="978"/>
    <n v="13"/>
    <x v="5"/>
    <x v="1"/>
  </r>
  <r>
    <s v="Joyland (Hard Case Crime)"/>
    <s v="Stephen King"/>
    <n v="4.5"/>
    <n v="4748"/>
    <n v="13"/>
    <x v="9"/>
    <x v="1"/>
  </r>
  <r>
    <s v="Killers of the Flower Moon: The Osage Murders and the Birth of the FBI"/>
    <s v="David Grann"/>
    <n v="4.5999999999999996"/>
    <n v="8393"/>
    <n v="13"/>
    <x v="3"/>
    <x v="0"/>
  </r>
  <r>
    <s v="Killing Jesus (Bill O'Reilly's Killing Series)"/>
    <s v="Bill O'Reilly"/>
    <n v="4.5"/>
    <n v="11391"/>
    <n v="13"/>
    <x v="9"/>
    <x v="0"/>
  </r>
  <r>
    <s v="Killing Kennedy: The End of Camelot"/>
    <s v="Bill O'Reilly"/>
    <n v="4.5999999999999996"/>
    <n v="8634"/>
    <n v="13"/>
    <x v="10"/>
    <x v="0"/>
  </r>
  <r>
    <s v="Killing Lincoln: The Shocking Assassination that Changed America Forever (Bill O'Reilly's Killing Series)"/>
    <s v="Bill O'Reilly"/>
    <n v="4.7"/>
    <n v="9342"/>
    <n v="13"/>
    <x v="1"/>
    <x v="0"/>
  </r>
  <r>
    <s v="Killing Lincoln: The Shocking Assassination that Changed America Forever (Bill O'Reilly's Killing Series)"/>
    <s v="Bill O'Reilly"/>
    <n v="4.7"/>
    <n v="9342"/>
    <n v="13"/>
    <x v="10"/>
    <x v="0"/>
  </r>
  <r>
    <s v="Killing Patton: The Strange Death of World War II's Most Audacious General (Bill O'Reilly's Killing Series)"/>
    <s v="Bill O'Reilly"/>
    <n v="4.5999999999999996"/>
    <n v="10927"/>
    <n v="13"/>
    <x v="5"/>
    <x v="0"/>
  </r>
  <r>
    <s v="Killing Reagan: The Violent Assault That Changed a Presidency (Bill O'Reilly's Killing Series)"/>
    <s v="Bill O'Reilly"/>
    <n v="4.5999999999999996"/>
    <n v="5235"/>
    <n v="13"/>
    <x v="8"/>
    <x v="0"/>
  </r>
  <r>
    <s v="Killing the Rising Sun: How America Vanquished World War II Japan (Bill O'Reilly's Killing Series)"/>
    <s v="Bill O'Reilly"/>
    <n v="4.8"/>
    <n v="8916"/>
    <n v="13"/>
    <x v="0"/>
    <x v="0"/>
  </r>
  <r>
    <s v="Kitchen Confidential Updated Edition: Adventures in the Culinary Underbelly (P.S.)"/>
    <s v="Anthony Bourdain"/>
    <n v="4.8"/>
    <n v="2507"/>
    <n v="13"/>
    <x v="2"/>
    <x v="0"/>
  </r>
  <r>
    <s v="Knock-Knock Jokes for Kids"/>
    <s v="Rob Elliott"/>
    <n v="4.5"/>
    <n v="3673"/>
    <n v="13"/>
    <x v="9"/>
    <x v="0"/>
  </r>
  <r>
    <s v="Knock-Knock Jokes for Kids"/>
    <s v="Rob Elliott"/>
    <n v="4.5"/>
    <n v="3673"/>
    <n v="13"/>
    <x v="5"/>
    <x v="0"/>
  </r>
  <r>
    <s v="Knock-Knock Jokes for Kids"/>
    <s v="Rob Elliott"/>
    <n v="4.5"/>
    <n v="3673"/>
    <n v="13"/>
    <x v="8"/>
    <x v="0"/>
  </r>
  <r>
    <s v="Last Week Tonight with John Oliver Presents A Day in the Life of Marlon Bundo (Better Bundo Book, LGBT Childrens Book)"/>
    <s v="Jill Twiss"/>
    <n v="4.9000000000000004"/>
    <n v="11881"/>
    <n v="13"/>
    <x v="2"/>
    <x v="1"/>
  </r>
  <r>
    <s v="Laugh-Out-Loud Jokes for Kids"/>
    <s v="Rob Elliott"/>
    <n v="4.5999999999999996"/>
    <n v="6990"/>
    <n v="13"/>
    <x v="9"/>
    <x v="0"/>
  </r>
  <r>
    <s v="Laugh-Out-Loud Jokes for Kids"/>
    <s v="Rob Elliott"/>
    <n v="4.5999999999999996"/>
    <n v="6990"/>
    <n v="13"/>
    <x v="5"/>
    <x v="0"/>
  </r>
  <r>
    <s v="Laugh-Out-Loud Jokes for Kids"/>
    <s v="Rob Elliott"/>
    <n v="4.5999999999999996"/>
    <n v="6990"/>
    <n v="13"/>
    <x v="8"/>
    <x v="0"/>
  </r>
  <r>
    <s v="Laugh-Out-Loud Jokes for Kids"/>
    <s v="Rob Elliott"/>
    <n v="4.5999999999999996"/>
    <n v="6990"/>
    <n v="13"/>
    <x v="0"/>
    <x v="0"/>
  </r>
  <r>
    <s v="Laugh-Out-Loud Jokes for Kids"/>
    <s v="Rob Elliott"/>
    <n v="4.5999999999999996"/>
    <n v="6990"/>
    <n v="13"/>
    <x v="3"/>
    <x v="0"/>
  </r>
  <r>
    <s v="Lean In: Women, Work, and the Will to Lead"/>
    <s v="Sheryl Sandberg"/>
    <n v="4.5"/>
    <n v="6132"/>
    <n v="13"/>
    <x v="9"/>
    <x v="0"/>
  </r>
  <r>
    <s v="Leonardo da Vinci"/>
    <s v="Walter Isaacson"/>
    <n v="4.5"/>
    <n v="3014"/>
    <n v="13"/>
    <x v="3"/>
    <x v="0"/>
  </r>
  <r>
    <s v="Lettering and Modern Calligraphy: A Beginner's Guide: Learn Hand Lettering and Brush Lettering"/>
    <s v="Paper Peony Press"/>
    <n v="4.4000000000000004"/>
    <n v="7550"/>
    <n v="13"/>
    <x v="2"/>
    <x v="0"/>
  </r>
  <r>
    <s v="Liberty and Tyranny: A Conservative Manifesto"/>
    <s v="Mark R. Levin"/>
    <n v="4.8"/>
    <n v="3828"/>
    <n v="13"/>
    <x v="7"/>
    <x v="0"/>
  </r>
  <r>
    <s v="Life"/>
    <s v="Keith Richards"/>
    <n v="4.5"/>
    <n v="2752"/>
    <n v="13"/>
    <x v="6"/>
    <x v="0"/>
  </r>
  <r>
    <s v="Little Bee: A Novel"/>
    <s v="Chris Cleave"/>
    <n v="4.0999999999999996"/>
    <n v="1467"/>
    <n v="13"/>
    <x v="6"/>
    <x v="1"/>
  </r>
  <r>
    <s v="Little Blue Truck"/>
    <s v="Alice Schertle"/>
    <n v="4.9000000000000004"/>
    <n v="1884"/>
    <n v="13"/>
    <x v="5"/>
    <x v="1"/>
  </r>
  <r>
    <s v="Little Fires Everywhere"/>
    <s v="Celeste Ng"/>
    <n v="4.5"/>
    <n v="25706"/>
    <n v="13"/>
    <x v="2"/>
    <x v="1"/>
  </r>
  <r>
    <s v="Looking for Alaska"/>
    <s v="John Green"/>
    <n v="4.5"/>
    <n v="8491"/>
    <n v="13"/>
    <x v="5"/>
    <x v="1"/>
  </r>
  <r>
    <s v="Love Wins: A Book About Heaven, Hell, and the Fate of Every Person Who Ever Lived"/>
    <s v="Rob Bell"/>
    <n v="4.2"/>
    <n v="1649"/>
    <n v="12"/>
    <x v="1"/>
    <x v="0"/>
  </r>
  <r>
    <s v="Love You Forever"/>
    <s v="Robert Munsch"/>
    <n v="4.8"/>
    <n v="18613"/>
    <n v="12"/>
    <x v="5"/>
    <x v="1"/>
  </r>
  <r>
    <s v="Love You Forever"/>
    <s v="Robert Munsch"/>
    <n v="4.8"/>
    <n v="18613"/>
    <n v="12"/>
    <x v="8"/>
    <x v="1"/>
  </r>
  <r>
    <s v="Magnolia Table: A Collection of Recipes for Gathering"/>
    <s v="Joanna Gaines"/>
    <n v="4.8"/>
    <n v="9867"/>
    <n v="12"/>
    <x v="2"/>
    <x v="0"/>
  </r>
  <r>
    <s v="Make It Ahead: A Barefoot Contessa Cookbook"/>
    <s v="Ina Garten"/>
    <n v="4.5"/>
    <n v="1386"/>
    <n v="12"/>
    <x v="5"/>
    <x v="0"/>
  </r>
  <r>
    <s v="Make Your Bed: Little Things That Can Change Your Life...And Maybe the World"/>
    <s v="Admiral William H. McRaven"/>
    <n v="4.7"/>
    <n v="10199"/>
    <n v="12"/>
    <x v="3"/>
    <x v="0"/>
  </r>
  <r>
    <s v="Mastering the Art of French Cooking, Vol. 2"/>
    <s v="Julia Child"/>
    <n v="4.8"/>
    <n v="2926"/>
    <n v="12"/>
    <x v="7"/>
    <x v="0"/>
  </r>
  <r>
    <s v="Milk and Honey"/>
    <s v="Rupi Kaur"/>
    <n v="4.7"/>
    <n v="17739"/>
    <n v="12"/>
    <x v="0"/>
    <x v="0"/>
  </r>
  <r>
    <s v="Milk and Honey"/>
    <s v="Rupi Kaur"/>
    <n v="4.7"/>
    <n v="17739"/>
    <n v="12"/>
    <x v="3"/>
    <x v="0"/>
  </r>
  <r>
    <s v="Milk and Honey"/>
    <s v="Rupi Kaur"/>
    <n v="4.7"/>
    <n v="17739"/>
    <n v="12"/>
    <x v="2"/>
    <x v="0"/>
  </r>
  <r>
    <s v="Milk and Vine: Inspirational Quotes From Classic Vines"/>
    <s v="Adam Gasiewski"/>
    <n v="4.4000000000000004"/>
    <n v="3113"/>
    <n v="12"/>
    <x v="3"/>
    <x v="0"/>
  </r>
  <r>
    <s v="Mindset: The New Psychology of Success"/>
    <s v="Carol S. Dweck"/>
    <n v="4.5999999999999996"/>
    <n v="5542"/>
    <n v="12"/>
    <x v="5"/>
    <x v="0"/>
  </r>
  <r>
    <s v="Mindset: The New Psychology of Success"/>
    <s v="Carol S. Dweck"/>
    <n v="4.5999999999999996"/>
    <n v="5542"/>
    <n v="12"/>
    <x v="8"/>
    <x v="0"/>
  </r>
  <r>
    <s v="Mindset: The New Psychology of Success"/>
    <s v="Carol S. Dweck"/>
    <n v="4.5999999999999996"/>
    <n v="5542"/>
    <n v="12"/>
    <x v="0"/>
    <x v="0"/>
  </r>
  <r>
    <s v="Mockingjay (The Hunger Games)"/>
    <s v="Suzanne Collins"/>
    <n v="4.5"/>
    <n v="26741"/>
    <n v="12"/>
    <x v="6"/>
    <x v="1"/>
  </r>
  <r>
    <s v="Mockingjay (The Hunger Games)"/>
    <s v="Suzanne Collins"/>
    <n v="4.5"/>
    <n v="26741"/>
    <n v="12"/>
    <x v="1"/>
    <x v="1"/>
  </r>
  <r>
    <s v="Mockingjay (The Hunger Games)"/>
    <s v="Suzanne Collins"/>
    <n v="4.5"/>
    <n v="26741"/>
    <n v="12"/>
    <x v="10"/>
    <x v="1"/>
  </r>
  <r>
    <s v="National Geographic Kids Why?: Over 1,111 Answers to Everything"/>
    <s v="Crispin Boyer"/>
    <n v="4.8"/>
    <n v="5347"/>
    <n v="12"/>
    <x v="4"/>
    <x v="0"/>
  </r>
  <r>
    <s v="National Geographic Little Kids First Big Book of Why (National Geographic Little Kids First Big Books)"/>
    <s v="Amy Shields"/>
    <n v="4.8"/>
    <n v="7866"/>
    <n v="12"/>
    <x v="4"/>
    <x v="0"/>
  </r>
  <r>
    <s v="New Moon (The Twilight Saga)"/>
    <s v="Stephenie Meyer"/>
    <n v="4.5999999999999996"/>
    <n v="5680"/>
    <n v="12"/>
    <x v="7"/>
    <x v="1"/>
  </r>
  <r>
    <s v="Night (Night)"/>
    <s v="Elie Wiesel"/>
    <n v="4.7"/>
    <n v="5178"/>
    <n v="12"/>
    <x v="0"/>
    <x v="0"/>
  </r>
  <r>
    <s v="No Easy Day: The Autobiography of a Navy Seal: The Firsthand Account of the Mission That Killed Osama Bin Laden"/>
    <s v="Mark Owen"/>
    <n v="4.5999999999999996"/>
    <n v="8093"/>
    <n v="12"/>
    <x v="10"/>
    <x v="0"/>
  </r>
  <r>
    <s v="Obama: An Intimate Portrait"/>
    <s v="Pete Souza"/>
    <n v="4.9000000000000004"/>
    <n v="3192"/>
    <n v="12"/>
    <x v="3"/>
    <x v="0"/>
  </r>
  <r>
    <s v="Oh, the Places You'll Go!"/>
    <s v="Dr. Seuss"/>
    <n v="4.9000000000000004"/>
    <n v="21834"/>
    <n v="12"/>
    <x v="10"/>
    <x v="1"/>
  </r>
  <r>
    <s v="Oh, the Places You'll Go!"/>
    <s v="Dr. Seuss"/>
    <n v="4.9000000000000004"/>
    <n v="21834"/>
    <n v="12"/>
    <x v="9"/>
    <x v="1"/>
  </r>
  <r>
    <s v="Oh, the Places You'll Go!"/>
    <s v="Dr. Seuss"/>
    <n v="4.9000000000000004"/>
    <n v="21834"/>
    <n v="12"/>
    <x v="5"/>
    <x v="1"/>
  </r>
  <r>
    <s v="Oh, the Places You'll Go!"/>
    <s v="Dr. Seuss"/>
    <n v="4.9000000000000004"/>
    <n v="21834"/>
    <n v="12"/>
    <x v="8"/>
    <x v="1"/>
  </r>
  <r>
    <s v="Oh, the Places You'll Go!"/>
    <s v="Dr. Seuss"/>
    <n v="4.9000000000000004"/>
    <n v="21834"/>
    <n v="11"/>
    <x v="0"/>
    <x v="1"/>
  </r>
  <r>
    <s v="Oh, the Places You'll Go!"/>
    <s v="Dr. Seuss"/>
    <n v="4.9000000000000004"/>
    <n v="21834"/>
    <n v="11"/>
    <x v="3"/>
    <x v="1"/>
  </r>
  <r>
    <s v="Oh, the Places You'll Go!"/>
    <s v="Dr. Seuss"/>
    <n v="4.9000000000000004"/>
    <n v="21834"/>
    <n v="11"/>
    <x v="2"/>
    <x v="1"/>
  </r>
  <r>
    <s v="Oh, the Places You'll Go!"/>
    <s v="Dr. Seuss"/>
    <n v="4.9000000000000004"/>
    <n v="21834"/>
    <n v="11"/>
    <x v="4"/>
    <x v="1"/>
  </r>
  <r>
    <s v="Old School (Diary of a Wimpy Kid #10)"/>
    <s v="Jeff Kinney"/>
    <n v="4.8"/>
    <n v="6169"/>
    <n v="11"/>
    <x v="8"/>
    <x v="1"/>
  </r>
  <r>
    <s v="Olive Kitteridge"/>
    <s v="Elizabeth Strout"/>
    <n v="4.2"/>
    <n v="4519"/>
    <n v="11"/>
    <x v="7"/>
    <x v="1"/>
  </r>
  <r>
    <s v="One Thousand Gifts: A Dare to Live Fully Right Where You Are"/>
    <s v="Ann Voskamp"/>
    <n v="4.5999999999999996"/>
    <n v="3163"/>
    <n v="11"/>
    <x v="1"/>
    <x v="0"/>
  </r>
  <r>
    <s v="One Thousand Gifts: A Dare to Live Fully Right Where You Are"/>
    <s v="Ann Voskamp"/>
    <n v="4.5999999999999996"/>
    <n v="3163"/>
    <n v="11"/>
    <x v="10"/>
    <x v="0"/>
  </r>
  <r>
    <s v="Option B: Facing Adversity, Building Resilience, and Finding Joy"/>
    <s v="Sheryl Sandberg"/>
    <n v="4.5"/>
    <n v="1831"/>
    <n v="11"/>
    <x v="3"/>
    <x v="0"/>
  </r>
  <r>
    <s v="Origin: A Novel (Robert Langdon)"/>
    <s v="Dan Brown"/>
    <n v="4.3"/>
    <n v="18904"/>
    <n v="11"/>
    <x v="3"/>
    <x v="1"/>
  </r>
  <r>
    <s v="Orphan Train"/>
    <s v="Christina Baker Kline"/>
    <n v="4.5999999999999996"/>
    <n v="21930"/>
    <n v="11"/>
    <x v="5"/>
    <x v="1"/>
  </r>
  <r>
    <s v="Outliers: The Story of Success"/>
    <s v="Malcolm Gladwell"/>
    <n v="4.5999999999999996"/>
    <n v="10426"/>
    <n v="11"/>
    <x v="7"/>
    <x v="0"/>
  </r>
  <r>
    <s v="Outliers: The Story of Success"/>
    <s v="Malcolm Gladwell"/>
    <n v="4.5999999999999996"/>
    <n v="10426"/>
    <n v="11"/>
    <x v="6"/>
    <x v="0"/>
  </r>
  <r>
    <s v="P is for Potty! (Sesame Street) (Lift-the-Flap)"/>
    <s v="Naomi Kleinberg"/>
    <n v="4.7"/>
    <n v="10820"/>
    <n v="11"/>
    <x v="2"/>
    <x v="0"/>
  </r>
  <r>
    <s v="P is for Potty! (Sesame Street) (Lift-the-Flap)"/>
    <s v="Naomi Kleinberg"/>
    <n v="4.7"/>
    <n v="10820"/>
    <n v="11"/>
    <x v="4"/>
    <x v="0"/>
  </r>
  <r>
    <s v="Percy Jackson and the Olympians Paperback Boxed Set (Books 1-3)"/>
    <s v="Rick Riordan"/>
    <n v="4.8"/>
    <n v="548"/>
    <n v="11"/>
    <x v="6"/>
    <x v="1"/>
  </r>
  <r>
    <s v="Player's Handbook (Dungeons &amp; Dragons)"/>
    <s v="Wizards RPG Team"/>
    <n v="4.8"/>
    <n v="16990"/>
    <n v="11"/>
    <x v="3"/>
    <x v="1"/>
  </r>
  <r>
    <s v="Player's Handbook (Dungeons &amp; Dragons)"/>
    <s v="Wizards RPG Team"/>
    <n v="4.8"/>
    <n v="16990"/>
    <n v="11"/>
    <x v="2"/>
    <x v="1"/>
  </r>
  <r>
    <s v="Player's Handbook (Dungeons &amp; Dragons)"/>
    <s v="Wizards RPG Team"/>
    <n v="4.8"/>
    <n v="16990"/>
    <n v="11"/>
    <x v="4"/>
    <x v="1"/>
  </r>
  <r>
    <s v="Pokémon Deluxe Essential Handbook: The Need-to-Know Stats and Facts on Over 700 Pokémon"/>
    <s v="Scholastic"/>
    <n v="4.7"/>
    <n v="3503"/>
    <n v="11"/>
    <x v="0"/>
    <x v="1"/>
  </r>
  <r>
    <s v="Proof of Heaven: A Neurosurgeon's Journey into the Afterlife"/>
    <s v="Eben Alexander"/>
    <n v="4.3"/>
    <n v="13616"/>
    <n v="11"/>
    <x v="10"/>
    <x v="0"/>
  </r>
  <r>
    <s v="Proof of Heaven: A Neurosurgeon's Journey into the Afterlife"/>
    <s v="Eben Alexander"/>
    <n v="4.3"/>
    <n v="13616"/>
    <n v="11"/>
    <x v="9"/>
    <x v="0"/>
  </r>
  <r>
    <s v="Publication Manual of the American Psychological Association, 6th Edition"/>
    <s v="American Psychological Association"/>
    <n v="4.5"/>
    <n v="8580"/>
    <n v="11"/>
    <x v="7"/>
    <x v="0"/>
  </r>
  <r>
    <s v="Publication Manual of the American Psychological Association, 6th Edition"/>
    <s v="American Psychological Association"/>
    <n v="4.5"/>
    <n v="8580"/>
    <n v="11"/>
    <x v="6"/>
    <x v="0"/>
  </r>
  <r>
    <s v="Publication Manual of the American Psychological Association, 6th Edition"/>
    <s v="American Psychological Association"/>
    <n v="4.5"/>
    <n v="8580"/>
    <n v="11"/>
    <x v="1"/>
    <x v="0"/>
  </r>
  <r>
    <s v="Publication Manual of the American Psychological Association, 6th Edition"/>
    <s v="American Psychological Association"/>
    <n v="4.5"/>
    <n v="8580"/>
    <n v="11"/>
    <x v="10"/>
    <x v="0"/>
  </r>
  <r>
    <s v="Publication Manual of the American Psychological Association, 6th Edition"/>
    <s v="American Psychological Association"/>
    <n v="4.5"/>
    <n v="8580"/>
    <n v="11"/>
    <x v="9"/>
    <x v="0"/>
  </r>
  <r>
    <s v="Publication Manual of the American Psychological Association, 6th Edition"/>
    <s v="American Psychological Association"/>
    <n v="4.5"/>
    <n v="8580"/>
    <n v="11"/>
    <x v="5"/>
    <x v="0"/>
  </r>
  <r>
    <s v="Publication Manual of the American Psychological Association, 6th Edition"/>
    <s v="American Psychological Association"/>
    <n v="4.5"/>
    <n v="8580"/>
    <n v="11"/>
    <x v="8"/>
    <x v="0"/>
  </r>
  <r>
    <s v="Publication Manual of the American Psychological Association, 6th Edition"/>
    <s v="American Psychological Association"/>
    <n v="4.5"/>
    <n v="8580"/>
    <n v="11"/>
    <x v="0"/>
    <x v="0"/>
  </r>
  <r>
    <s v="Publication Manual of the American Psychological Association, 6th Edition"/>
    <s v="American Psychological Association"/>
    <n v="4.5"/>
    <n v="8580"/>
    <n v="11"/>
    <x v="3"/>
    <x v="0"/>
  </r>
  <r>
    <s v="Publication Manual of the American Psychological Association, 6th Edition"/>
    <s v="American Psychological Association"/>
    <n v="4.5"/>
    <n v="8580"/>
    <n v="11"/>
    <x v="2"/>
    <x v="0"/>
  </r>
  <r>
    <s v="Puppy Birthday to You! (Paw Patrol) (Little Golden Book)"/>
    <s v="Golden Books"/>
    <n v="4.8"/>
    <n v="4757"/>
    <n v="11"/>
    <x v="3"/>
    <x v="1"/>
  </r>
  <r>
    <s v="Quiet: The Power of Introverts in a World That Can't Stop Talking"/>
    <s v="Susan Cain"/>
    <n v="4.5999999999999996"/>
    <n v="10009"/>
    <n v="11"/>
    <x v="10"/>
    <x v="0"/>
  </r>
  <r>
    <s v="Quiet: The Power of Introverts in a World That Can't Stop Talking"/>
    <s v="Susan Cain"/>
    <n v="4.5999999999999996"/>
    <n v="10009"/>
    <n v="11"/>
    <x v="9"/>
    <x v="0"/>
  </r>
  <r>
    <s v="Radical: Taking Back Your Faith from the American Dream"/>
    <s v="David Platt"/>
    <n v="4.7"/>
    <n v="1985"/>
    <n v="10"/>
    <x v="6"/>
    <x v="0"/>
  </r>
  <r>
    <s v="Radical: Taking Back Your Faith from the American Dream"/>
    <s v="David Platt"/>
    <n v="4.7"/>
    <n v="1985"/>
    <n v="10"/>
    <x v="1"/>
    <x v="0"/>
  </r>
  <r>
    <s v="Ready Player One: A Novel"/>
    <s v="Ernest Cline"/>
    <n v="4.5999999999999996"/>
    <n v="22536"/>
    <n v="10"/>
    <x v="3"/>
    <x v="1"/>
  </r>
  <r>
    <s v="Ready Player One: A Novel"/>
    <s v="Ernest Cline"/>
    <n v="4.5999999999999996"/>
    <n v="22536"/>
    <n v="10"/>
    <x v="2"/>
    <x v="1"/>
  </r>
  <r>
    <s v="Rush Revere and the Brave Pilgrims: Time-Travel Adventures with Exceptional Americans (1)"/>
    <s v="Rush Limbaugh"/>
    <n v="4.9000000000000004"/>
    <n v="7150"/>
    <n v="10"/>
    <x v="9"/>
    <x v="1"/>
  </r>
  <r>
    <s v="Rush Revere and the First Patriots: Time-Travel Adventures With Exceptional Americans (2)"/>
    <s v="Rush Limbaugh"/>
    <n v="4.9000000000000004"/>
    <n v="3836"/>
    <n v="10"/>
    <x v="5"/>
    <x v="1"/>
  </r>
  <r>
    <s v="Salt, Fat, Acid, Heat: Mastering the Elements of Good Cooking"/>
    <s v="Samin Nosrat"/>
    <n v="4.8"/>
    <n v="7802"/>
    <n v="10"/>
    <x v="2"/>
    <x v="0"/>
  </r>
  <r>
    <s v="Salt, Fat, Acid, Heat: Mastering the Elements of Good Cooking"/>
    <s v="Samin Nosrat"/>
    <n v="4.8"/>
    <n v="7802"/>
    <n v="10"/>
    <x v="4"/>
    <x v="0"/>
  </r>
  <r>
    <s v="Sarah's Key"/>
    <s v="Tatiana de Rosnay"/>
    <n v="4.5999999999999996"/>
    <n v="3619"/>
    <n v="10"/>
    <x v="6"/>
    <x v="1"/>
  </r>
  <r>
    <s v="School Zone - Big Preschool Workbook - Ages 4 and Up, Colors, Shapes, Numbers 1-10, Alphabet, Pre-Writing, Pre-Reading…"/>
    <s v="School Zone"/>
    <n v="4.8"/>
    <n v="23047"/>
    <n v="10"/>
    <x v="2"/>
    <x v="0"/>
  </r>
  <r>
    <s v="School Zone - Big Preschool Workbook - Ages 4 and Up, Colors, Shapes, Numbers 1-10, Alphabet, Pre-Writing, Pre-Reading…"/>
    <s v="School Zone"/>
    <n v="4.8"/>
    <n v="23047"/>
    <n v="10"/>
    <x v="4"/>
    <x v="0"/>
  </r>
  <r>
    <s v="Secret Garden: An Inky Treasure Hunt and Coloring Book (For Adults, mindfulness coloring)"/>
    <s v="Johanna Basford"/>
    <n v="4.7"/>
    <n v="9366"/>
    <n v="10"/>
    <x v="8"/>
    <x v="0"/>
  </r>
  <r>
    <s v="Sh*t My Dad Says"/>
    <s v="Justin Halpern"/>
    <n v="4.7"/>
    <n v="1265"/>
    <n v="10"/>
    <x v="6"/>
    <x v="0"/>
  </r>
  <r>
    <s v="Ship of Fools: How a Selfish Ruling Class Is Bringing America to the Brink of Revolution"/>
    <s v="Tucker Carlson"/>
    <n v="4.8"/>
    <n v="3923"/>
    <n v="10"/>
    <x v="2"/>
    <x v="0"/>
  </r>
  <r>
    <s v="Shred: The Revolutionary Diet: 6 Weeks 4 Inches 2 Sizes"/>
    <s v="Ian K. Smith M.D."/>
    <n v="4.0999999999999996"/>
    <n v="2272"/>
    <n v="10"/>
    <x v="9"/>
    <x v="0"/>
  </r>
  <r>
    <s v="Sookie Stackhouse"/>
    <s v="Charlaine Harris"/>
    <n v="4.7"/>
    <n v="973"/>
    <n v="10"/>
    <x v="7"/>
    <x v="1"/>
  </r>
  <r>
    <s v="Soul Healing Miracles: Ancient and New Sacred Wisdom, Knowledge, and Practical Techniques for Healing the Spiritual…"/>
    <s v="Zhi Gang Sha"/>
    <n v="4.5999999999999996"/>
    <n v="220"/>
    <n v="10"/>
    <x v="9"/>
    <x v="0"/>
  </r>
  <r>
    <s v="Steve Jobs"/>
    <s v="Walter Isaacson"/>
    <n v="4.5999999999999996"/>
    <n v="7827"/>
    <n v="10"/>
    <x v="1"/>
    <x v="0"/>
  </r>
  <r>
    <s v="Steve Jobs"/>
    <s v="Walter Isaacson"/>
    <n v="4.5999999999999996"/>
    <n v="7827"/>
    <n v="10"/>
    <x v="10"/>
    <x v="0"/>
  </r>
  <r>
    <s v="Strange Planet (Strange Planet Series)"/>
    <s v="Nathan W. Pyle"/>
    <n v="4.9000000000000004"/>
    <n v="9382"/>
    <n v="10"/>
    <x v="4"/>
    <x v="1"/>
  </r>
  <r>
    <s v="StrengthsFinder 2.0"/>
    <s v="Gallup"/>
    <n v="4"/>
    <n v="5069"/>
    <n v="10"/>
    <x v="7"/>
    <x v="0"/>
  </r>
  <r>
    <s v="StrengthsFinder 2.0"/>
    <s v="Gallup"/>
    <n v="4"/>
    <n v="5069"/>
    <n v="10"/>
    <x v="6"/>
    <x v="0"/>
  </r>
  <r>
    <s v="StrengthsFinder 2.0"/>
    <s v="Gallup"/>
    <n v="4"/>
    <n v="5069"/>
    <n v="10"/>
    <x v="1"/>
    <x v="0"/>
  </r>
  <r>
    <s v="StrengthsFinder 2.0"/>
    <s v="Gallup"/>
    <n v="4"/>
    <n v="5069"/>
    <n v="10"/>
    <x v="10"/>
    <x v="0"/>
  </r>
  <r>
    <s v="StrengthsFinder 2.0"/>
    <s v="Gallup"/>
    <n v="4"/>
    <n v="5069"/>
    <n v="10"/>
    <x v="9"/>
    <x v="0"/>
  </r>
  <r>
    <s v="StrengthsFinder 2.0"/>
    <s v="Gallup"/>
    <n v="4"/>
    <n v="5069"/>
    <n v="10"/>
    <x v="5"/>
    <x v="0"/>
  </r>
  <r>
    <s v="StrengthsFinder 2.0"/>
    <s v="Gallup"/>
    <n v="4"/>
    <n v="5069"/>
    <n v="10"/>
    <x v="8"/>
    <x v="0"/>
  </r>
  <r>
    <s v="StrengthsFinder 2.0"/>
    <s v="Gallup"/>
    <n v="4"/>
    <n v="5069"/>
    <n v="10"/>
    <x v="0"/>
    <x v="0"/>
  </r>
  <r>
    <s v="StrengthsFinder 2.0"/>
    <s v="Gallup"/>
    <n v="4"/>
    <n v="5069"/>
    <n v="9"/>
    <x v="3"/>
    <x v="0"/>
  </r>
  <r>
    <s v="Super Freakonomics: Global Cooling, Patriotic Prostitutes, and Why Suicide Bombers Should Buy Life Insurance"/>
    <s v="Steven D. Levitt"/>
    <n v="4.5"/>
    <n v="1583"/>
    <n v="9"/>
    <x v="7"/>
    <x v="0"/>
  </r>
  <r>
    <s v="Switch: How to Change Things When Change Is Hard"/>
    <s v="Chip Heath"/>
    <n v="4.5999999999999996"/>
    <n v="1907"/>
    <n v="9"/>
    <x v="6"/>
    <x v="0"/>
  </r>
  <r>
    <s v="Sycamore Row (Jake Brigance)"/>
    <s v="John Grisham"/>
    <n v="4.5"/>
    <n v="23114"/>
    <n v="9"/>
    <x v="9"/>
    <x v="1"/>
  </r>
  <r>
    <s v="Teach Like a Champion: 49 Techniques that Put Students on the Path to College"/>
    <s v="Doug Lemov"/>
    <n v="4.4000000000000004"/>
    <n v="637"/>
    <n v="9"/>
    <x v="6"/>
    <x v="0"/>
  </r>
  <r>
    <s v="Teach Like a Champion: 49 Techniques that Put Students on the Path to College"/>
    <s v="Doug Lemov"/>
    <n v="4.4000000000000004"/>
    <n v="637"/>
    <n v="9"/>
    <x v="1"/>
    <x v="0"/>
  </r>
  <r>
    <s v="The 17 Day Diet: A Doctor's Plan Designed for Rapid Results"/>
    <s v="Mike Moreno"/>
    <n v="4.3"/>
    <n v="2314"/>
    <n v="9"/>
    <x v="1"/>
    <x v="0"/>
  </r>
  <r>
    <s v="The 4 Hour Body: An Uncommon Guide to Rapid Fat Loss, Incredible Sex and Becoming Superhuman"/>
    <s v="Timothy Ferriss"/>
    <n v="4.3"/>
    <n v="4587"/>
    <n v="9"/>
    <x v="1"/>
    <x v="0"/>
  </r>
  <r>
    <s v="The 5 Love Languages: The Secret to Love That Lasts"/>
    <s v="Gary Chapman"/>
    <n v="4.7"/>
    <n v="3477"/>
    <n v="9"/>
    <x v="6"/>
    <x v="0"/>
  </r>
  <r>
    <s v="The 5 Love Languages: The Secret to Love That Lasts"/>
    <s v="Gary Chapman"/>
    <n v="4.7"/>
    <n v="3477"/>
    <n v="9"/>
    <x v="1"/>
    <x v="0"/>
  </r>
  <r>
    <s v="The 5 Love Languages: The Secret to Love That Lasts"/>
    <s v="Gary Chapman"/>
    <n v="4.7"/>
    <n v="3477"/>
    <n v="9"/>
    <x v="10"/>
    <x v="0"/>
  </r>
  <r>
    <s v="The 5 Love Languages: The Secret to Love That Lasts"/>
    <s v="Gary Chapman"/>
    <n v="4.7"/>
    <n v="3477"/>
    <n v="9"/>
    <x v="9"/>
    <x v="0"/>
  </r>
  <r>
    <s v="The 5 Love Languages: The Secret to Love That Lasts"/>
    <s v="Gary Chapman"/>
    <n v="4.7"/>
    <n v="3477"/>
    <n v="9"/>
    <x v="5"/>
    <x v="0"/>
  </r>
  <r>
    <s v="The 5 Love Languages: The Secret to Love that Lasts"/>
    <s v="Gary Chapman"/>
    <n v="4.8"/>
    <n v="25554"/>
    <n v="9"/>
    <x v="8"/>
    <x v="0"/>
  </r>
  <r>
    <s v="The 5 Love Languages: The Secret to Love that Lasts"/>
    <s v="Gary Chapman"/>
    <n v="4.8"/>
    <n v="25554"/>
    <n v="9"/>
    <x v="0"/>
    <x v="0"/>
  </r>
  <r>
    <s v="The 5 Love Languages: The Secret to Love that Lasts"/>
    <s v="Gary Chapman"/>
    <n v="4.8"/>
    <n v="25554"/>
    <n v="9"/>
    <x v="3"/>
    <x v="0"/>
  </r>
  <r>
    <s v="The 5 Love Languages: The Secret to Love that Lasts"/>
    <s v="Gary Chapman"/>
    <n v="4.8"/>
    <n v="25554"/>
    <n v="9"/>
    <x v="2"/>
    <x v="0"/>
  </r>
  <r>
    <s v="The 5 Love Languages: The Secret to Love that Lasts"/>
    <s v="Gary Chapman"/>
    <n v="4.8"/>
    <n v="25554"/>
    <n v="9"/>
    <x v="4"/>
    <x v="0"/>
  </r>
  <r>
    <s v="The 5000 Year Leap"/>
    <s v="W. Cleon Skousen"/>
    <n v="4.8"/>
    <n v="1680"/>
    <n v="9"/>
    <x v="7"/>
    <x v="0"/>
  </r>
  <r>
    <s v="The 7 Habits of Highly Effective People: Powerful Lessons in Personal Change"/>
    <s v="Stephen R. Covey"/>
    <n v="4.5999999999999996"/>
    <n v="9325"/>
    <n v="9"/>
    <x v="7"/>
    <x v="0"/>
  </r>
  <r>
    <s v="The 7 Habits of Highly Effective People: Powerful Lessons in Personal Change"/>
    <s v="Stephen R. Covey"/>
    <n v="4.5999999999999996"/>
    <n v="9325"/>
    <n v="9"/>
    <x v="1"/>
    <x v="0"/>
  </r>
  <r>
    <s v="The 7 Habits of Highly Effective People: Powerful Lessons in Personal Change"/>
    <s v="Stephen R. Covey"/>
    <n v="4.5999999999999996"/>
    <n v="9325"/>
    <n v="9"/>
    <x v="10"/>
    <x v="0"/>
  </r>
  <r>
    <s v="The 7 Habits of Highly Effective People: Powerful Lessons in Personal Change"/>
    <s v="Stephen R. Covey"/>
    <n v="4.5999999999999996"/>
    <n v="9325"/>
    <n v="9"/>
    <x v="9"/>
    <x v="0"/>
  </r>
  <r>
    <s v="The 7 Habits of Highly Effective People: Powerful Lessons in Personal Change"/>
    <s v="Stephen R. Covey"/>
    <n v="4.7"/>
    <n v="4725"/>
    <n v="9"/>
    <x v="8"/>
    <x v="0"/>
  </r>
  <r>
    <s v="The 7 Habits of Highly Effective People: Powerful Lessons in Personal Change"/>
    <s v="Stephen R. Covey"/>
    <n v="4.7"/>
    <n v="4725"/>
    <n v="9"/>
    <x v="0"/>
    <x v="0"/>
  </r>
  <r>
    <s v="The 7 Habits of Highly Effective People: Powerful Lessons in Personal Change"/>
    <s v="Stephen R. Covey"/>
    <n v="4.7"/>
    <n v="4725"/>
    <n v="9"/>
    <x v="3"/>
    <x v="0"/>
  </r>
  <r>
    <s v="The Alchemist"/>
    <s v="Paulo Coelho"/>
    <n v="4.7"/>
    <n v="35799"/>
    <n v="9"/>
    <x v="5"/>
    <x v="1"/>
  </r>
  <r>
    <s v="The Amateur"/>
    <s v="Edward Klein"/>
    <n v="4.5999999999999996"/>
    <n v="2580"/>
    <n v="9"/>
    <x v="10"/>
    <x v="0"/>
  </r>
  <r>
    <s v="The Art of Racing in the Rain: A Novel"/>
    <s v="Garth Stein"/>
    <n v="4.7"/>
    <n v="11813"/>
    <n v="9"/>
    <x v="6"/>
    <x v="1"/>
  </r>
  <r>
    <s v="The Art of Racing in the Rain: A Novel"/>
    <s v="Garth Stein"/>
    <n v="4.7"/>
    <n v="11813"/>
    <n v="9"/>
    <x v="1"/>
    <x v="1"/>
  </r>
  <r>
    <s v="The Big Short: Inside the Doomsday Machine"/>
    <s v="Michael Lewis"/>
    <n v="4.7"/>
    <n v="3536"/>
    <n v="9"/>
    <x v="6"/>
    <x v="0"/>
  </r>
  <r>
    <s v="The Blood of Olympus (The Heroes of Olympus (5))"/>
    <s v="Rick Riordan"/>
    <n v="4.8"/>
    <n v="6600"/>
    <n v="9"/>
    <x v="5"/>
    <x v="1"/>
  </r>
  <r>
    <s v="The Blood Sugar Solution: The UltraHealthy Program for Losing Weight, Preventing Disease, and Feeling Great Now!"/>
    <s v="Mark Hyman M.D."/>
    <n v="4.2"/>
    <n v="1789"/>
    <n v="9"/>
    <x v="10"/>
    <x v="0"/>
  </r>
  <r>
    <s v="The Body Keeps the Score: Brain, Mind, and Body in the Healing of Trauma"/>
    <s v="Bessel van der Kolk M.D."/>
    <n v="4.8"/>
    <n v="12361"/>
    <n v="9"/>
    <x v="4"/>
    <x v="0"/>
  </r>
  <r>
    <s v="The Book of Basketball: The NBA According to The Sports Guy"/>
    <s v="Bill Simmons"/>
    <n v="4.7"/>
    <n v="858"/>
    <n v="9"/>
    <x v="7"/>
    <x v="0"/>
  </r>
  <r>
    <s v="The Book Thief"/>
    <s v="Markus Zusak"/>
    <n v="4.5999999999999996"/>
    <n v="23148"/>
    <n v="9"/>
    <x v="9"/>
    <x v="1"/>
  </r>
  <r>
    <s v="The Book Thief"/>
    <s v="Markus Zusak"/>
    <n v="4.5999999999999996"/>
    <n v="23148"/>
    <n v="9"/>
    <x v="5"/>
    <x v="1"/>
  </r>
  <r>
    <s v="The Book with No Pictures"/>
    <s v="B. J. Novak"/>
    <n v="4.8"/>
    <n v="8081"/>
    <n v="9"/>
    <x v="5"/>
    <x v="1"/>
  </r>
  <r>
    <s v="The Book with No Pictures"/>
    <s v="B. J. Novak"/>
    <n v="4.8"/>
    <n v="8081"/>
    <n v="8"/>
    <x v="8"/>
    <x v="1"/>
  </r>
  <r>
    <s v="The Boys in the Boat: Nine Americans and Their Epic Quest for Gold at the 1936 Berlin Olympics"/>
    <s v="Daniel James Brown"/>
    <n v="4.8"/>
    <n v="23358"/>
    <n v="8"/>
    <x v="5"/>
    <x v="0"/>
  </r>
  <r>
    <s v="The Boys in the Boat: Nine Americans and Their Epic Quest for Gold at the 1936 Berlin Olympics"/>
    <s v="Daniel James Brown"/>
    <n v="4.8"/>
    <n v="23358"/>
    <n v="8"/>
    <x v="8"/>
    <x v="0"/>
  </r>
  <r>
    <s v="The Casual Vacancy"/>
    <s v="J.K. Rowling"/>
    <n v="3.3"/>
    <n v="9372"/>
    <n v="8"/>
    <x v="10"/>
    <x v="1"/>
  </r>
  <r>
    <s v="The China Study: The Most Comprehensive Study of Nutrition Ever Conducted And the Startling Implications for Diet…"/>
    <s v="Thomas Campbell"/>
    <n v="4.7"/>
    <n v="4633"/>
    <n v="8"/>
    <x v="1"/>
    <x v="0"/>
  </r>
  <r>
    <s v="The Complete Ketogenic Diet for Beginners: Your Essential Guide to Living the Keto Lifestyle"/>
    <s v="Amy Ramos"/>
    <n v="4.3"/>
    <n v="13061"/>
    <n v="8"/>
    <x v="2"/>
    <x v="0"/>
  </r>
  <r>
    <s v="The Complete Ketogenic Diet for Beginners: Your Essential Guide to Living the Keto Lifestyle"/>
    <s v="Amy Ramos"/>
    <n v="4.3"/>
    <n v="13061"/>
    <n v="8"/>
    <x v="4"/>
    <x v="0"/>
  </r>
  <r>
    <s v="The Confession: A Novel"/>
    <s v="John Grisham"/>
    <n v="4.3"/>
    <n v="3523"/>
    <n v="8"/>
    <x v="6"/>
    <x v="1"/>
  </r>
  <r>
    <s v="The Constitution of the United States"/>
    <s v="Delegates of the Constitutional"/>
    <n v="4.8"/>
    <n v="2774"/>
    <n v="8"/>
    <x v="0"/>
    <x v="0"/>
  </r>
  <r>
    <s v="The Daily Show with Jon Stewart Presents Earth (The Book): A Visitor's Guide to the Human Race"/>
    <s v="Jon Stewart"/>
    <n v="4.4000000000000004"/>
    <n v="440"/>
    <n v="8"/>
    <x v="6"/>
    <x v="0"/>
  </r>
  <r>
    <s v="The Day the Crayons Quit"/>
    <s v="Drew Daywalt"/>
    <n v="4.8"/>
    <n v="8922"/>
    <n v="8"/>
    <x v="9"/>
    <x v="1"/>
  </r>
  <r>
    <s v="The Day the Crayons Quit"/>
    <s v="Drew Daywalt"/>
    <n v="4.8"/>
    <n v="8922"/>
    <n v="8"/>
    <x v="5"/>
    <x v="1"/>
  </r>
  <r>
    <s v="The Day the Crayons Quit"/>
    <s v="Drew Daywalt"/>
    <n v="4.8"/>
    <n v="8922"/>
    <n v="8"/>
    <x v="8"/>
    <x v="1"/>
  </r>
  <r>
    <s v="The Dukan Diet: 2 Steps to Lose the Weight, 2 Steps to Keep It Off Forever"/>
    <s v="Pierre Dukan"/>
    <n v="4.0999999999999996"/>
    <n v="2023"/>
    <n v="8"/>
    <x v="1"/>
    <x v="0"/>
  </r>
  <r>
    <s v="The Elegance of the Hedgehog"/>
    <s v="Muriel Barbery"/>
    <n v="4"/>
    <n v="1859"/>
    <n v="8"/>
    <x v="7"/>
    <x v="1"/>
  </r>
  <r>
    <s v="The Fault in Our Stars"/>
    <s v="John Green"/>
    <n v="4.7"/>
    <n v="50482"/>
    <n v="8"/>
    <x v="10"/>
    <x v="1"/>
  </r>
  <r>
    <s v="The Fault in Our Stars"/>
    <s v="John Green"/>
    <n v="4.7"/>
    <n v="50482"/>
    <n v="8"/>
    <x v="9"/>
    <x v="1"/>
  </r>
  <r>
    <s v="The Fault in Our Stars"/>
    <s v="John Green"/>
    <n v="4.7"/>
    <n v="50482"/>
    <n v="8"/>
    <x v="5"/>
    <x v="1"/>
  </r>
  <r>
    <s v="The Fault in Our Stars"/>
    <s v="John Green"/>
    <n v="4.7"/>
    <n v="50482"/>
    <n v="8"/>
    <x v="5"/>
    <x v="1"/>
  </r>
  <r>
    <s v="The Five Dysfunctions of a Team: A Leadership Fable"/>
    <s v="Patrick Lencioni"/>
    <n v="4.5999999999999996"/>
    <n v="3207"/>
    <n v="8"/>
    <x v="7"/>
    <x v="0"/>
  </r>
  <r>
    <s v="The Five Dysfunctions of a Team: A Leadership Fable"/>
    <s v="Patrick Lencioni"/>
    <n v="4.5999999999999996"/>
    <n v="3207"/>
    <n v="8"/>
    <x v="6"/>
    <x v="0"/>
  </r>
  <r>
    <s v="The Five Dysfunctions of a Team: A Leadership Fable"/>
    <s v="Patrick Lencioni"/>
    <n v="4.5999999999999996"/>
    <n v="3207"/>
    <n v="8"/>
    <x v="1"/>
    <x v="0"/>
  </r>
  <r>
    <s v="The Five Dysfunctions of a Team: A Leadership Fable"/>
    <s v="Patrick Lencioni"/>
    <n v="4.5999999999999996"/>
    <n v="3207"/>
    <n v="8"/>
    <x v="10"/>
    <x v="0"/>
  </r>
  <r>
    <s v="The Five Dysfunctions of a Team: A Leadership Fable"/>
    <s v="Patrick Lencioni"/>
    <n v="4.5999999999999996"/>
    <n v="3207"/>
    <n v="8"/>
    <x v="9"/>
    <x v="0"/>
  </r>
  <r>
    <s v="The Five Love Languages: How to Express Heartfelt Commitment to Your Mate"/>
    <s v="Gary Chapman"/>
    <n v="4.5999999999999996"/>
    <n v="803"/>
    <n v="8"/>
    <x v="7"/>
    <x v="0"/>
  </r>
  <r>
    <s v="The Four Agreements: A Practical Guide to Personal Freedom (A Toltec Wisdom Book)"/>
    <s v="Don Miguel Ruiz"/>
    <n v="4.7"/>
    <n v="23308"/>
    <n v="8"/>
    <x v="9"/>
    <x v="0"/>
  </r>
  <r>
    <s v="The Four Agreements: A Practical Guide to Personal Freedom (A Toltec Wisdom Book)"/>
    <s v="Don Miguel Ruiz"/>
    <n v="4.7"/>
    <n v="23308"/>
    <n v="8"/>
    <x v="8"/>
    <x v="0"/>
  </r>
  <r>
    <s v="The Four Agreements: A Practical Guide to Personal Freedom (A Toltec Wisdom Book)"/>
    <s v="Don Miguel Ruiz"/>
    <n v="4.7"/>
    <n v="23308"/>
    <n v="8"/>
    <x v="0"/>
    <x v="0"/>
  </r>
  <r>
    <s v="The Four Agreements: A Practical Guide to Personal Freedom (A Toltec Wisdom Book)"/>
    <s v="Don Miguel Ruiz"/>
    <n v="4.7"/>
    <n v="23308"/>
    <n v="8"/>
    <x v="3"/>
    <x v="0"/>
  </r>
  <r>
    <s v="The Four Agreements: A Practical Guide to Personal Freedom (A Toltec Wisdom Book)"/>
    <s v="Don Miguel Ruiz"/>
    <n v="4.7"/>
    <n v="23308"/>
    <n v="8"/>
    <x v="2"/>
    <x v="0"/>
  </r>
  <r>
    <s v="The Four Agreements: A Practical Guide to Personal Freedom (A Toltec Wisdom Book)"/>
    <s v="Don Miguel Ruiz"/>
    <n v="4.7"/>
    <n v="23308"/>
    <n v="8"/>
    <x v="4"/>
    <x v="0"/>
  </r>
  <r>
    <s v="The Getaway"/>
    <s v="Jeff Kinney"/>
    <n v="4.8"/>
    <n v="5836"/>
    <n v="8"/>
    <x v="3"/>
    <x v="1"/>
  </r>
  <r>
    <s v="The Girl on the Train"/>
    <s v="Paula Hawkins"/>
    <n v="4.0999999999999996"/>
    <n v="79446"/>
    <n v="8"/>
    <x v="8"/>
    <x v="1"/>
  </r>
  <r>
    <s v="The Girl on the Train"/>
    <s v="Paula Hawkins"/>
    <n v="4.0999999999999996"/>
    <n v="79446"/>
    <n v="8"/>
    <x v="0"/>
    <x v="1"/>
  </r>
  <r>
    <s v="The Girl Who Kicked the Hornet's Nest (Millennium Trilogy)"/>
    <s v="Stieg Larsson"/>
    <n v="4.7"/>
    <n v="7747"/>
    <n v="8"/>
    <x v="6"/>
    <x v="1"/>
  </r>
  <r>
    <s v="The Girl Who Kicked the Hornet's Nest (Millennium Trilogy)"/>
    <s v="Stieg Larsson"/>
    <n v="4.7"/>
    <n v="7747"/>
    <n v="8"/>
    <x v="1"/>
    <x v="1"/>
  </r>
  <r>
    <s v="The Girl Who Played with Fire (Millennium Series)"/>
    <s v="Stieg Larsson"/>
    <n v="4.7"/>
    <n v="7251"/>
    <n v="8"/>
    <x v="6"/>
    <x v="1"/>
  </r>
  <r>
    <s v="The Girl Who Played with Fire (Millennium)"/>
    <s v="Stieg Larsson"/>
    <n v="4.7"/>
    <n v="7251"/>
    <n v="8"/>
    <x v="7"/>
    <x v="1"/>
  </r>
  <r>
    <s v="The Girl with the Dragon Tattoo (Millennium Series)"/>
    <s v="Stieg Larsson"/>
    <n v="4.4000000000000004"/>
    <n v="10559"/>
    <n v="8"/>
    <x v="7"/>
    <x v="1"/>
  </r>
  <r>
    <s v="The Girl with the Dragon Tattoo (Millennium Series)"/>
    <s v="Stieg Larsson"/>
    <n v="4.4000000000000004"/>
    <n v="10559"/>
    <n v="8"/>
    <x v="6"/>
    <x v="1"/>
  </r>
  <r>
    <s v="The Going-To-Bed Book"/>
    <s v="Sandra Boynton"/>
    <n v="4.8"/>
    <n v="5249"/>
    <n v="8"/>
    <x v="0"/>
    <x v="1"/>
  </r>
  <r>
    <s v="The Going-To-Bed Book"/>
    <s v="Sandra Boynton"/>
    <n v="4.8"/>
    <n v="5249"/>
    <n v="8"/>
    <x v="3"/>
    <x v="1"/>
  </r>
  <r>
    <s v="The Goldfinch: A Novel (Pulitzer Prize for Fiction)"/>
    <s v="Donna Tartt"/>
    <n v="3.9"/>
    <n v="33844"/>
    <n v="8"/>
    <x v="9"/>
    <x v="1"/>
  </r>
  <r>
    <s v="The Goldfinch: A Novel (Pulitzer Prize for Fiction)"/>
    <s v="Donna Tartt"/>
    <n v="3.9"/>
    <n v="33844"/>
    <n v="8"/>
    <x v="5"/>
    <x v="1"/>
  </r>
  <r>
    <s v="The Great Gatsby"/>
    <s v="F. Scott Fitzgerald"/>
    <n v="4.4000000000000004"/>
    <n v="11616"/>
    <n v="8"/>
    <x v="10"/>
    <x v="1"/>
  </r>
  <r>
    <s v="The Great Gatsby"/>
    <s v="F. Scott Fitzgerald"/>
    <n v="4.4000000000000004"/>
    <n v="11616"/>
    <n v="8"/>
    <x v="9"/>
    <x v="1"/>
  </r>
  <r>
    <s v="The Great Gatsby"/>
    <s v="F. Scott Fitzgerald"/>
    <n v="4.4000000000000004"/>
    <n v="11616"/>
    <n v="8"/>
    <x v="5"/>
    <x v="1"/>
  </r>
  <r>
    <s v="The Guardians: A Novel"/>
    <s v="John Grisham"/>
    <n v="4.5"/>
    <n v="13609"/>
    <n v="8"/>
    <x v="4"/>
    <x v="1"/>
  </r>
  <r>
    <s v="The Guernsey Literary and Potato Peel Pie Society"/>
    <s v="Mary Ann Shaffer"/>
    <n v="4.7"/>
    <n v="8587"/>
    <n v="8"/>
    <x v="7"/>
    <x v="1"/>
  </r>
  <r>
    <s v="The Handmaid's Tale"/>
    <s v="Margaret Atwood"/>
    <n v="4.3"/>
    <n v="29442"/>
    <n v="8"/>
    <x v="3"/>
    <x v="1"/>
  </r>
  <r>
    <s v="The Harbinger: The Ancient Mystery that Holds the Secret of America's Future"/>
    <s v="Jonathan Cahn"/>
    <n v="4.5999999999999996"/>
    <n v="11098"/>
    <n v="8"/>
    <x v="10"/>
    <x v="1"/>
  </r>
  <r>
    <s v="The Hate U Give"/>
    <s v="Angie Thomas"/>
    <n v="4.8"/>
    <n v="9947"/>
    <n v="8"/>
    <x v="2"/>
    <x v="1"/>
  </r>
  <r>
    <s v="The Help"/>
    <s v="Kathryn Stockett"/>
    <n v="4.8"/>
    <n v="13871"/>
    <n v="7"/>
    <x v="7"/>
    <x v="1"/>
  </r>
  <r>
    <s v="The Help"/>
    <s v="Kathryn Stockett"/>
    <n v="4.8"/>
    <n v="13871"/>
    <n v="7"/>
    <x v="6"/>
    <x v="1"/>
  </r>
  <r>
    <s v="The Help"/>
    <s v="Kathryn Stockett"/>
    <n v="4.8"/>
    <n v="13871"/>
    <n v="7"/>
    <x v="1"/>
    <x v="1"/>
  </r>
  <r>
    <s v="The Help"/>
    <s v="Kathryn Stockett"/>
    <n v="4.8"/>
    <n v="13871"/>
    <n v="7"/>
    <x v="1"/>
    <x v="1"/>
  </r>
  <r>
    <s v="The House of Hades (Heroes of Olympus, Book 4)"/>
    <s v="Rick Riordan"/>
    <n v="4.8"/>
    <n v="6982"/>
    <n v="7"/>
    <x v="9"/>
    <x v="1"/>
  </r>
  <r>
    <s v="The Hunger Games"/>
    <s v="Suzanne Collins"/>
    <n v="4.7"/>
    <n v="32122"/>
    <n v="7"/>
    <x v="6"/>
    <x v="1"/>
  </r>
  <r>
    <s v="The Hunger Games (Book 1)"/>
    <s v="Suzanne Collins"/>
    <n v="4.7"/>
    <n v="32122"/>
    <n v="7"/>
    <x v="1"/>
    <x v="1"/>
  </r>
  <r>
    <s v="The Hunger Games (Book 1)"/>
    <s v="Suzanne Collins"/>
    <n v="4.7"/>
    <n v="32122"/>
    <n v="7"/>
    <x v="10"/>
    <x v="1"/>
  </r>
  <r>
    <s v="The Hunger Games Trilogy Boxed Set (1)"/>
    <s v="Suzanne Collins"/>
    <n v="4.8"/>
    <n v="16949"/>
    <n v="7"/>
    <x v="1"/>
    <x v="1"/>
  </r>
  <r>
    <s v="The Hunger Games Trilogy Boxed Set (1)"/>
    <s v="Suzanne Collins"/>
    <n v="4.8"/>
    <n v="16949"/>
    <n v="7"/>
    <x v="10"/>
    <x v="1"/>
  </r>
  <r>
    <s v="The Immortal Life of Henrietta Lacks"/>
    <s v="Rebecca Skloot"/>
    <n v="4.7"/>
    <n v="9289"/>
    <n v="7"/>
    <x v="6"/>
    <x v="0"/>
  </r>
  <r>
    <s v="The Immortal Life of Henrietta Lacks"/>
    <s v="Rebecca Skloot"/>
    <n v="4.7"/>
    <n v="9289"/>
    <n v="7"/>
    <x v="1"/>
    <x v="0"/>
  </r>
  <r>
    <s v="The Immortal Life of Henrietta Lacks"/>
    <s v="Rebecca Skloot"/>
    <n v="4.7"/>
    <n v="9289"/>
    <n v="7"/>
    <x v="10"/>
    <x v="0"/>
  </r>
  <r>
    <s v="The Instant Pot Electric Pressure Cooker Cookbook: Easy Recipes for Fast &amp; Healthy Meals"/>
    <s v="Laurel Randolph"/>
    <n v="4.3"/>
    <n v="7368"/>
    <n v="7"/>
    <x v="3"/>
    <x v="0"/>
  </r>
  <r>
    <s v="The Instant Pot Electric Pressure Cooker Cookbook: Easy Recipes for Fast &amp; Healthy Meals"/>
    <s v="Laurel Randolph"/>
    <n v="4.3"/>
    <n v="7368"/>
    <n v="7"/>
    <x v="2"/>
    <x v="0"/>
  </r>
  <r>
    <s v="The Last Lecture"/>
    <s v="Randy Pausch"/>
    <n v="4.7"/>
    <n v="4028"/>
    <n v="7"/>
    <x v="7"/>
    <x v="0"/>
  </r>
  <r>
    <s v="The Last Olympian (Percy Jackson and the Olympians, Book 5)"/>
    <s v="Rick Riordan"/>
    <n v="4.8"/>
    <n v="4628"/>
    <n v="7"/>
    <x v="7"/>
    <x v="1"/>
  </r>
  <r>
    <s v="The Last Olympian (Percy Jackson and the Olympians, Book 5)"/>
    <s v="Rick Riordan"/>
    <n v="4.8"/>
    <n v="4628"/>
    <n v="7"/>
    <x v="6"/>
    <x v="1"/>
  </r>
  <r>
    <s v="The Legend of Zelda: Hyrule Historia"/>
    <s v="Patrick Thorpe"/>
    <n v="4.9000000000000004"/>
    <n v="5396"/>
    <n v="7"/>
    <x v="9"/>
    <x v="1"/>
  </r>
  <r>
    <s v="The Lego Ideas Book: Unlock Your Imagination"/>
    <s v="Daniel Lipkowitz"/>
    <n v="4.4000000000000004"/>
    <n v="4247"/>
    <n v="7"/>
    <x v="1"/>
    <x v="0"/>
  </r>
  <r>
    <s v="The Lego Ideas Book: Unlock Your Imagination"/>
    <s v="Daniel Lipkowitz"/>
    <n v="4.4000000000000004"/>
    <n v="4247"/>
    <n v="7"/>
    <x v="10"/>
    <x v="0"/>
  </r>
  <r>
    <s v="The Life-Changing Magic of Tidying Up: The Japanese Art of Decluttering and Organizing"/>
    <s v="Marie Kondō"/>
    <n v="4.5"/>
    <n v="22641"/>
    <n v="7"/>
    <x v="8"/>
    <x v="0"/>
  </r>
  <r>
    <s v="The Life-Changing Magic of Tidying Up: The Japanese Art of Decluttering and Organizing"/>
    <s v="Marie Kondō"/>
    <n v="4.5"/>
    <n v="22641"/>
    <n v="7"/>
    <x v="0"/>
    <x v="0"/>
  </r>
  <r>
    <s v="The Life-Changing Magic of Tidying Up: The Japanese Art of Decluttering and Organizing"/>
    <s v="Marie Kondō"/>
    <n v="4.5"/>
    <n v="22641"/>
    <n v="6"/>
    <x v="3"/>
    <x v="0"/>
  </r>
  <r>
    <s v="The Life-Changing Magic of Tidying Up: The Japanese Art of Decluttering and Organizing"/>
    <s v="Marie Kondō"/>
    <n v="4.5"/>
    <n v="22641"/>
    <n v="6"/>
    <x v="4"/>
    <x v="0"/>
  </r>
  <r>
    <s v="The Litigators"/>
    <s v="John Grisham"/>
    <n v="4.4000000000000004"/>
    <n v="6222"/>
    <n v="6"/>
    <x v="1"/>
    <x v="1"/>
  </r>
  <r>
    <s v="The Lost Hero (Heroes of Olympus, Book 1)"/>
    <s v="Rick Riordan"/>
    <n v="4.8"/>
    <n v="4506"/>
    <n v="6"/>
    <x v="6"/>
    <x v="1"/>
  </r>
  <r>
    <s v="The Lost Symbol"/>
    <s v="Dan Brown"/>
    <n v="4.2"/>
    <n v="8747"/>
    <n v="6"/>
    <x v="7"/>
    <x v="1"/>
  </r>
  <r>
    <s v="The Love Dare"/>
    <s v="Stephen Kendrick"/>
    <n v="4.8"/>
    <n v="1655"/>
    <n v="6"/>
    <x v="7"/>
    <x v="0"/>
  </r>
  <r>
    <s v="The Magnolia Story"/>
    <s v="Chip Gaines"/>
    <n v="4.9000000000000004"/>
    <n v="7861"/>
    <n v="6"/>
    <x v="0"/>
    <x v="0"/>
  </r>
  <r>
    <s v="The Mark of Athena (Heroes of Olympus, Book 3)"/>
    <s v="Rick Riordan"/>
    <n v="4.8"/>
    <n v="6247"/>
    <n v="6"/>
    <x v="10"/>
    <x v="1"/>
  </r>
  <r>
    <s v="The Martian"/>
    <s v="Andy Weir"/>
    <n v="4.7"/>
    <n v="39459"/>
    <n v="6"/>
    <x v="8"/>
    <x v="1"/>
  </r>
  <r>
    <s v="The Maze Runner (Book 1)"/>
    <s v="James Dashner"/>
    <n v="4.5"/>
    <n v="10101"/>
    <n v="6"/>
    <x v="5"/>
    <x v="1"/>
  </r>
  <r>
    <s v="The Meltdown (Diary of a Wimpy Kid Book 13)"/>
    <s v="Jeff Kinney"/>
    <n v="4.8"/>
    <n v="5898"/>
    <n v="6"/>
    <x v="2"/>
    <x v="1"/>
  </r>
  <r>
    <s v="The Mueller Report"/>
    <s v="The Washington Post"/>
    <n v="4.5999999999999996"/>
    <n v="2744"/>
    <n v="6"/>
    <x v="4"/>
    <x v="0"/>
  </r>
  <r>
    <s v="The Nightingale: A Novel"/>
    <s v="Kristin Hannah"/>
    <n v="4.8"/>
    <n v="49288"/>
    <n v="6"/>
    <x v="8"/>
    <x v="1"/>
  </r>
  <r>
    <s v="The Nightingale: A Novel"/>
    <s v="Kristin Hannah"/>
    <n v="4.8"/>
    <n v="49288"/>
    <n v="6"/>
    <x v="0"/>
    <x v="1"/>
  </r>
  <r>
    <s v="The Official SAT Study Guide"/>
    <s v="The College Board"/>
    <n v="4.4000000000000004"/>
    <n v="1201"/>
    <n v="6"/>
    <x v="6"/>
    <x v="0"/>
  </r>
  <r>
    <s v="The Official SAT Study Guide"/>
    <s v="The College Board"/>
    <n v="4.4000000000000004"/>
    <n v="1201"/>
    <n v="6"/>
    <x v="1"/>
    <x v="0"/>
  </r>
  <r>
    <s v="The Official SAT Study Guide"/>
    <s v="The College Board"/>
    <n v="4.4000000000000004"/>
    <n v="1201"/>
    <n v="6"/>
    <x v="10"/>
    <x v="0"/>
  </r>
  <r>
    <s v="The Official SAT Study Guide"/>
    <s v="The College Board"/>
    <n v="4.4000000000000004"/>
    <n v="1201"/>
    <n v="6"/>
    <x v="9"/>
    <x v="0"/>
  </r>
  <r>
    <s v="The Official SAT Study Guide"/>
    <s v="The College Board"/>
    <n v="4.4000000000000004"/>
    <n v="1201"/>
    <n v="6"/>
    <x v="5"/>
    <x v="0"/>
  </r>
  <r>
    <s v="The Official SAT Study Guide, 2016 Edition (Official Study Guide for the New Sat)"/>
    <s v="The College Board"/>
    <n v="4.3"/>
    <n v="807"/>
    <n v="6"/>
    <x v="0"/>
    <x v="0"/>
  </r>
  <r>
    <s v="The Paris Wife: A Novel"/>
    <s v="Paula McLain"/>
    <n v="4.3"/>
    <n v="3759"/>
    <n v="6"/>
    <x v="1"/>
    <x v="1"/>
  </r>
  <r>
    <s v="The Pioneer Woman Cooks: A Year of Holidays: 140 Step-by-Step Recipes for Simple, Scrumptious Celebrations"/>
    <s v="Ree Drummond"/>
    <n v="4.8"/>
    <n v="2663"/>
    <n v="6"/>
    <x v="9"/>
    <x v="0"/>
  </r>
  <r>
    <s v="The Pioneer Woman Cooks: Dinnertime - Comfort Classics, Freezer Food, 16-minute Meals, and Other Delicious Ways to Solve…"/>
    <s v="Ree Drummond"/>
    <n v="4.8"/>
    <n v="3428"/>
    <n v="6"/>
    <x v="8"/>
    <x v="0"/>
  </r>
  <r>
    <s v="The Pioneer Woman Cooks: Food from My Frontier"/>
    <s v="Ree Drummond"/>
    <n v="4.8"/>
    <n v="2876"/>
    <n v="6"/>
    <x v="10"/>
    <x v="0"/>
  </r>
  <r>
    <s v="The Plant Paradox Cookbook: 100 Delicious Recipes to Help You Lose Weight, Heal Your Gut, and Live Lectin-Free"/>
    <s v="Dr. Steven R Gundry MD"/>
    <n v="4.5"/>
    <n v="3601"/>
    <n v="6"/>
    <x v="2"/>
    <x v="0"/>
  </r>
  <r>
    <s v="The Plant Paradox: The Hidden Dangers in &quot;Healthy&quot; Foods That Cause Disease and Weight Gain"/>
    <s v="Dr. Steven R Gundry MD"/>
    <n v="4.4000000000000004"/>
    <n v="7058"/>
    <n v="6"/>
    <x v="2"/>
    <x v="0"/>
  </r>
  <r>
    <s v="The Pout-Pout Fish"/>
    <s v="Deborah Diesen"/>
    <n v="4.8"/>
    <n v="9784"/>
    <n v="6"/>
    <x v="3"/>
    <x v="1"/>
  </r>
  <r>
    <s v="The Pout-Pout Fish"/>
    <s v="Deborah Diesen"/>
    <n v="4.8"/>
    <n v="9784"/>
    <n v="6"/>
    <x v="2"/>
    <x v="1"/>
  </r>
  <r>
    <s v="The Power of Habit: Why We Do What We Do in Life and Business"/>
    <s v="Charles Duhigg"/>
    <n v="4.5999999999999996"/>
    <n v="10795"/>
    <n v="6"/>
    <x v="10"/>
    <x v="0"/>
  </r>
  <r>
    <s v="The President Is Missing: A Novel"/>
    <s v="James Patterson"/>
    <n v="4.3"/>
    <n v="10191"/>
    <n v="6"/>
    <x v="2"/>
    <x v="1"/>
  </r>
  <r>
    <s v="The Racketeer"/>
    <s v="John Grisham"/>
    <n v="4.3"/>
    <n v="14493"/>
    <n v="6"/>
    <x v="10"/>
    <x v="1"/>
  </r>
  <r>
    <s v="The Red Pyramid (The Kane Chronicles, Book 1)"/>
    <s v="Rick Riordan"/>
    <n v="4.5999999999999996"/>
    <n v="2186"/>
    <n v="6"/>
    <x v="6"/>
    <x v="1"/>
  </r>
  <r>
    <s v="The Road to Serfdom: Text and Documents--The Definitive Edition (The Collected Works of F. A. Hayek, Volume 2)"/>
    <s v="F. A. Hayek"/>
    <n v="4.5999999999999996"/>
    <n v="1204"/>
    <n v="6"/>
    <x v="6"/>
    <x v="0"/>
  </r>
  <r>
    <s v="The Serpent's Shadow (The Kane Chronicles, Book 3)"/>
    <s v="Rick Riordan"/>
    <n v="4.8"/>
    <n v="2091"/>
    <n v="6"/>
    <x v="10"/>
    <x v="1"/>
  </r>
  <r>
    <s v="The Shack: Where Tragedy Confronts Eternity"/>
    <s v="William P. Young"/>
    <n v="4.5999999999999996"/>
    <n v="19720"/>
    <n v="6"/>
    <x v="7"/>
    <x v="1"/>
  </r>
  <r>
    <s v="The Shack: Where Tragedy Confronts Eternity"/>
    <s v="William P. Young"/>
    <n v="4.5999999999999996"/>
    <n v="19720"/>
    <n v="6"/>
    <x v="3"/>
    <x v="1"/>
  </r>
  <r>
    <s v="The Short Second Life of Bree Tanner: An Eclipse Novella (The Twilight Saga)"/>
    <s v="Stephenie Meyer"/>
    <n v="4.5999999999999996"/>
    <n v="2122"/>
    <n v="6"/>
    <x v="6"/>
    <x v="1"/>
  </r>
  <r>
    <s v="The Silent Patient"/>
    <s v="Alex Michaelides"/>
    <n v="4.5"/>
    <n v="27536"/>
    <n v="6"/>
    <x v="4"/>
    <x v="1"/>
  </r>
  <r>
    <s v="The Son of Neptune (Heroes of Olympus, Book 2)"/>
    <s v="Rick Riordan"/>
    <n v="4.8"/>
    <n v="4290"/>
    <n v="5"/>
    <x v="1"/>
    <x v="1"/>
  </r>
  <r>
    <s v="The Subtle Art of Not Giving a F*ck: A Counterintuitive Approach to Living a Good Life"/>
    <s v="Mark Manson"/>
    <n v="4.5999999999999996"/>
    <n v="26490"/>
    <n v="5"/>
    <x v="3"/>
    <x v="0"/>
  </r>
  <r>
    <s v="The Subtle Art of Not Giving a F*ck: A Counterintuitive Approach to Living a Good Life"/>
    <s v="Mark Manson"/>
    <n v="4.5999999999999996"/>
    <n v="26490"/>
    <n v="5"/>
    <x v="2"/>
    <x v="0"/>
  </r>
  <r>
    <s v="The Subtle Art of Not Giving a F*ck: A Counterintuitive Approach to Living a Good Life"/>
    <s v="Mark Manson"/>
    <n v="4.5999999999999996"/>
    <n v="26490"/>
    <n v="5"/>
    <x v="4"/>
    <x v="0"/>
  </r>
  <r>
    <s v="The Sun and Her Flowers"/>
    <s v="Rupi Kaur"/>
    <n v="4.7"/>
    <n v="5487"/>
    <n v="5"/>
    <x v="3"/>
    <x v="0"/>
  </r>
  <r>
    <s v="The Third Wheel (Diary of a Wimpy Kid, Book 7)"/>
    <s v="Jeff Kinney"/>
    <n v="4.7"/>
    <n v="6377"/>
    <n v="5"/>
    <x v="10"/>
    <x v="1"/>
  </r>
  <r>
    <s v="The Throne of Fire (The Kane Chronicles, Book 2)"/>
    <s v="Rick Riordan"/>
    <n v="4.7"/>
    <n v="1463"/>
    <n v="5"/>
    <x v="1"/>
    <x v="1"/>
  </r>
  <r>
    <s v="The Time Traveler's Wife"/>
    <s v="Audrey Niffenegger"/>
    <n v="4.4000000000000004"/>
    <n v="3759"/>
    <n v="5"/>
    <x v="7"/>
    <x v="1"/>
  </r>
  <r>
    <s v="The Tipping Point: How Little Things Can Make a Big Difference"/>
    <s v="Malcolm Gladwell"/>
    <n v="4.4000000000000004"/>
    <n v="3503"/>
    <n v="5"/>
    <x v="7"/>
    <x v="0"/>
  </r>
  <r>
    <s v="The Total Money Makeover: Classic Edition: A Proven Plan for Financial Fitness"/>
    <s v="Dave Ramsey"/>
    <n v="4.7"/>
    <n v="11550"/>
    <n v="5"/>
    <x v="4"/>
    <x v="0"/>
  </r>
  <r>
    <s v="The Twilight Saga Collection"/>
    <s v="Stephenie Meyer"/>
    <n v="4.7"/>
    <n v="3801"/>
    <n v="5"/>
    <x v="7"/>
    <x v="1"/>
  </r>
  <r>
    <s v="The Ugly Truth (Diary of a Wimpy Kid, Book 5)"/>
    <s v="Jeff Kinney"/>
    <n v="4.8"/>
    <n v="3796"/>
    <n v="5"/>
    <x v="6"/>
    <x v="1"/>
  </r>
  <r>
    <s v="The Unofficial Harry Potter Cookbook: From Cauldron Cakes to Knickerbocker Glory--More Than 150 Magical Recipes for…"/>
    <s v="Dinah Bucholz"/>
    <n v="4.7"/>
    <n v="9030"/>
    <n v="5"/>
    <x v="4"/>
    <x v="0"/>
  </r>
  <r>
    <s v="The Very Hungry Caterpillar"/>
    <s v="Eric Carle"/>
    <n v="4.9000000000000004"/>
    <n v="19546"/>
    <n v="5"/>
    <x v="9"/>
    <x v="1"/>
  </r>
  <r>
    <s v="The Very Hungry Caterpillar"/>
    <s v="Eric Carle"/>
    <n v="4.9000000000000004"/>
    <n v="19546"/>
    <n v="5"/>
    <x v="5"/>
    <x v="1"/>
  </r>
  <r>
    <s v="The Very Hungry Caterpillar"/>
    <s v="Eric Carle"/>
    <n v="4.9000000000000004"/>
    <n v="19546"/>
    <n v="5"/>
    <x v="8"/>
    <x v="1"/>
  </r>
  <r>
    <s v="The Very Hungry Caterpillar"/>
    <s v="Eric Carle"/>
    <n v="4.9000000000000004"/>
    <n v="19546"/>
    <n v="5"/>
    <x v="0"/>
    <x v="1"/>
  </r>
  <r>
    <s v="The Very Hungry Caterpillar"/>
    <s v="Eric Carle"/>
    <n v="4.9000000000000004"/>
    <n v="19546"/>
    <n v="5"/>
    <x v="3"/>
    <x v="1"/>
  </r>
  <r>
    <s v="The Very Hungry Caterpillar"/>
    <s v="Eric Carle"/>
    <n v="4.9000000000000004"/>
    <n v="19546"/>
    <n v="5"/>
    <x v="2"/>
    <x v="1"/>
  </r>
  <r>
    <s v="The Very Hungry Caterpillar"/>
    <s v="Eric Carle"/>
    <n v="4.9000000000000004"/>
    <n v="19546"/>
    <n v="5"/>
    <x v="4"/>
    <x v="1"/>
  </r>
  <r>
    <s v="The Whole30: The 30-Day Guide to Total Health and Food Freedom"/>
    <s v="Melissa Hartwig Urban"/>
    <n v="4.5999999999999996"/>
    <n v="7508"/>
    <n v="5"/>
    <x v="8"/>
    <x v="0"/>
  </r>
  <r>
    <s v="The Whole30: The 30-Day Guide to Total Health and Food Freedom"/>
    <s v="Melissa Hartwig Urban"/>
    <n v="4.5999999999999996"/>
    <n v="7508"/>
    <n v="5"/>
    <x v="0"/>
    <x v="0"/>
  </r>
  <r>
    <s v="The Whole30: The 30-Day Guide to Total Health and Food Freedom"/>
    <s v="Melissa Hartwig Urban"/>
    <n v="4.5999999999999996"/>
    <n v="7508"/>
    <n v="5"/>
    <x v="3"/>
    <x v="0"/>
  </r>
  <r>
    <s v="The Wonderful Things You Will Be"/>
    <s v="Emily Winfield Martin"/>
    <n v="4.9000000000000004"/>
    <n v="8842"/>
    <n v="5"/>
    <x v="0"/>
    <x v="1"/>
  </r>
  <r>
    <s v="The Wonderful Things You Will Be"/>
    <s v="Emily Winfield Martin"/>
    <n v="4.9000000000000004"/>
    <n v="8842"/>
    <n v="5"/>
    <x v="3"/>
    <x v="1"/>
  </r>
  <r>
    <s v="The Wonderful Things You Will Be"/>
    <s v="Emily Winfield Martin"/>
    <n v="4.9000000000000004"/>
    <n v="8842"/>
    <n v="5"/>
    <x v="2"/>
    <x v="1"/>
  </r>
  <r>
    <s v="The Wonderful Things You Will Be"/>
    <s v="Emily Winfield Martin"/>
    <n v="4.9000000000000004"/>
    <n v="8842"/>
    <n v="5"/>
    <x v="4"/>
    <x v="1"/>
  </r>
  <r>
    <s v="The Wonky Donkey"/>
    <s v="Craig Smith"/>
    <n v="4.8"/>
    <n v="30183"/>
    <n v="5"/>
    <x v="2"/>
    <x v="1"/>
  </r>
  <r>
    <s v="The Wonky Donkey"/>
    <s v="Craig Smith"/>
    <n v="4.8"/>
    <n v="30183"/>
    <n v="5"/>
    <x v="4"/>
    <x v="1"/>
  </r>
  <r>
    <s v="The Wright Brothers"/>
    <s v="David McCullough"/>
    <n v="4.7"/>
    <n v="6169"/>
    <n v="5"/>
    <x v="8"/>
    <x v="0"/>
  </r>
  <r>
    <s v="Things That Matter: Three Decades of Passions, Pastimes and Politics [Deckled Edge]"/>
    <s v="Charles Krauthammer"/>
    <n v="4.7"/>
    <n v="7034"/>
    <n v="5"/>
    <x v="9"/>
    <x v="0"/>
  </r>
  <r>
    <s v="Thinking, Fast and Slow"/>
    <s v="Daniel Kahneman"/>
    <n v="4.5999999999999996"/>
    <n v="11034"/>
    <n v="5"/>
    <x v="1"/>
    <x v="0"/>
  </r>
  <r>
    <s v="Thinking, Fast and Slow"/>
    <s v="Daniel Kahneman"/>
    <n v="4.5999999999999996"/>
    <n v="11034"/>
    <n v="5"/>
    <x v="10"/>
    <x v="0"/>
  </r>
  <r>
    <s v="Thirteen Reasons Why"/>
    <s v="Jay Asher"/>
    <n v="4.5"/>
    <n v="7932"/>
    <n v="5"/>
    <x v="3"/>
    <x v="1"/>
  </r>
  <r>
    <s v="Thomas Jefferson: The Art of Power"/>
    <s v="Jon Meacham"/>
    <n v="4.5"/>
    <n v="1904"/>
    <n v="5"/>
    <x v="10"/>
    <x v="0"/>
  </r>
  <r>
    <s v="Three Cups of Tea: One Man's Mission to Promote Peace - One School at a Time"/>
    <s v="Greg Mortenson"/>
    <n v="4.3"/>
    <n v="3319"/>
    <n v="5"/>
    <x v="7"/>
    <x v="0"/>
  </r>
  <r>
    <s v="Three Cups of Tea: One Man's Mission to Promote Peace - One School at a Time"/>
    <s v="Greg Mortenson"/>
    <n v="4.3"/>
    <n v="3319"/>
    <n v="4"/>
    <x v="6"/>
    <x v="0"/>
  </r>
  <r>
    <s v="Thug Kitchen: The Official Cookbook: Eat Like You Give a F*ck (Thug Kitchen Cookbooks)"/>
    <s v="Thug Kitchen"/>
    <n v="4.5999999999999996"/>
    <n v="11128"/>
    <n v="4"/>
    <x v="5"/>
    <x v="0"/>
  </r>
  <r>
    <s v="Thug Kitchen: The Official Cookbook: Eat Like You Give a F*ck (Thug Kitchen Cookbooks)"/>
    <s v="Thug Kitchen"/>
    <n v="4.5999999999999996"/>
    <n v="11128"/>
    <n v="4"/>
    <x v="8"/>
    <x v="0"/>
  </r>
  <r>
    <s v="Thug Kitchen: The Official Cookbook: Eat Like You Give a F*ck (Thug Kitchen Cookbooks)"/>
    <s v="Thug Kitchen"/>
    <n v="4.5999999999999996"/>
    <n v="11128"/>
    <n v="4"/>
    <x v="0"/>
    <x v="0"/>
  </r>
  <r>
    <s v="Thug Kitchen: The Official Cookbook: Eat Like You Give a F*ck (Thug Kitchen Cookbooks)"/>
    <s v="Thug Kitchen"/>
    <n v="4.5999999999999996"/>
    <n v="11128"/>
    <n v="4"/>
    <x v="3"/>
    <x v="0"/>
  </r>
  <r>
    <s v="Tina Fey: Bossypants"/>
    <s v="Tina Fey"/>
    <n v="4.3"/>
    <n v="5977"/>
    <n v="4"/>
    <x v="1"/>
    <x v="0"/>
  </r>
  <r>
    <s v="To Kill a Mockingbird"/>
    <s v="Harper Lee"/>
    <n v="4.8"/>
    <n v="26234"/>
    <n v="4"/>
    <x v="9"/>
    <x v="1"/>
  </r>
  <r>
    <s v="To Kill a Mockingbird"/>
    <s v="Harper Lee"/>
    <n v="4.8"/>
    <n v="26234"/>
    <n v="4"/>
    <x v="5"/>
    <x v="1"/>
  </r>
  <r>
    <s v="To Kill a Mockingbird"/>
    <s v="Harper Lee"/>
    <n v="4.8"/>
    <n v="26234"/>
    <n v="4"/>
    <x v="8"/>
    <x v="1"/>
  </r>
  <r>
    <s v="To Kill a Mockingbird"/>
    <s v="Harper Lee"/>
    <n v="4.8"/>
    <n v="26234"/>
    <n v="4"/>
    <x v="0"/>
    <x v="1"/>
  </r>
  <r>
    <s v="To Kill a Mockingbird"/>
    <s v="Harper Lee"/>
    <n v="4.8"/>
    <n v="26234"/>
    <n v="4"/>
    <x v="4"/>
    <x v="1"/>
  </r>
  <r>
    <s v="Tools of Titans: The Tactics, Routines, and Habits of Billionaires, Icons, and World-Class Performers"/>
    <s v="Timothy Ferriss"/>
    <n v="4.5999999999999996"/>
    <n v="4360"/>
    <n v="4"/>
    <x v="3"/>
    <x v="0"/>
  </r>
  <r>
    <s v="Towers of Midnight (Wheel of Time, Book Thirteen)"/>
    <s v="Robert Jordan"/>
    <n v="4.8"/>
    <n v="2282"/>
    <n v="4"/>
    <x v="6"/>
    <x v="1"/>
  </r>
  <r>
    <s v="True Compass: A Memoir"/>
    <s v="Edward M. Kennedy"/>
    <n v="4.5"/>
    <n v="438"/>
    <n v="4"/>
    <x v="7"/>
    <x v="0"/>
  </r>
  <r>
    <s v="Twilight (The Twilight Saga, Book 1)"/>
    <s v="Stephenie Meyer"/>
    <n v="4.7"/>
    <n v="11676"/>
    <n v="4"/>
    <x v="7"/>
    <x v="1"/>
  </r>
  <r>
    <s v="Ultimate Sticker Book: Frozen: More Than 60 Reusable Full-Color Stickers"/>
    <s v="DK"/>
    <n v="4.5"/>
    <n v="2586"/>
    <n v="4"/>
    <x v="5"/>
    <x v="1"/>
  </r>
  <r>
    <s v="Unbroken: A World War II Story of Survival, Resilience, and Redemption"/>
    <s v="Laura Hillenbrand"/>
    <n v="4.8"/>
    <n v="29673"/>
    <n v="4"/>
    <x v="6"/>
    <x v="0"/>
  </r>
  <r>
    <s v="Unbroken: A World War II Story of Survival, Resilience, and Redemption"/>
    <s v="Laura Hillenbrand"/>
    <n v="4.8"/>
    <n v="29673"/>
    <n v="4"/>
    <x v="1"/>
    <x v="0"/>
  </r>
  <r>
    <s v="Unbroken: A World War II Story of Survival, Resilience, and Redemption"/>
    <s v="Laura Hillenbrand"/>
    <n v="4.8"/>
    <n v="29673"/>
    <n v="4"/>
    <x v="10"/>
    <x v="0"/>
  </r>
  <r>
    <s v="Unbroken: A World War II Story of Survival, Resilience, and Redemption"/>
    <s v="Laura Hillenbrand"/>
    <n v="4.8"/>
    <n v="29673"/>
    <n v="4"/>
    <x v="5"/>
    <x v="0"/>
  </r>
  <r>
    <s v="Unbroken: A World War II Story of Survival, Resilience, and Redemption"/>
    <s v="Laura Hillenbrand"/>
    <n v="4.8"/>
    <n v="29673"/>
    <n v="4"/>
    <x v="5"/>
    <x v="0"/>
  </r>
  <r>
    <s v="Under the Dome: A Novel"/>
    <s v="Stephen King"/>
    <n v="4.3"/>
    <n v="6740"/>
    <n v="4"/>
    <x v="7"/>
    <x v="1"/>
  </r>
  <r>
    <s v="Unfreedom of the Press"/>
    <s v="Mark R. Levin"/>
    <n v="4.9000000000000004"/>
    <n v="5956"/>
    <n v="4"/>
    <x v="4"/>
    <x v="0"/>
  </r>
  <r>
    <s v="Unicorn Coloring Book: For Kids Ages 4-8 (US Edition) (Silly Bear Coloring Books)"/>
    <s v="Silly Bear"/>
    <n v="4.8"/>
    <n v="6108"/>
    <n v="4"/>
    <x v="4"/>
    <x v="0"/>
  </r>
  <r>
    <s v="Uninvited: Living Loved When You Feel Less Than, Left Out, and Lonely"/>
    <s v="Lysa TerKeurst"/>
    <n v="4.7"/>
    <n v="4585"/>
    <n v="4"/>
    <x v="0"/>
    <x v="0"/>
  </r>
  <r>
    <s v="Watchmen"/>
    <s v="Alan Moore"/>
    <n v="4.8"/>
    <n v="3829"/>
    <n v="4"/>
    <x v="7"/>
    <x v="1"/>
  </r>
  <r>
    <s v="Water for Elephants: A Novel"/>
    <s v="Sara Gruen"/>
    <n v="4.5"/>
    <n v="8958"/>
    <n v="4"/>
    <x v="1"/>
    <x v="1"/>
  </r>
  <r>
    <s v="What Happened"/>
    <s v="Hillary Rodham Clinton"/>
    <n v="4.5999999999999996"/>
    <n v="5492"/>
    <n v="4"/>
    <x v="3"/>
    <x v="0"/>
  </r>
  <r>
    <s v="What If?: Serious Scientific Answers to Absurd Hypothetical Questions"/>
    <s v="Randall Munroe"/>
    <n v="4.7"/>
    <n v="9292"/>
    <n v="4"/>
    <x v="5"/>
    <x v="0"/>
  </r>
  <r>
    <s v="What Pet Should I Get? (Classic Seuss)"/>
    <s v="Dr. Seuss"/>
    <n v="4.7"/>
    <n v="1873"/>
    <n v="4"/>
    <x v="8"/>
    <x v="1"/>
  </r>
  <r>
    <s v="What Should Danny Do? (The Power to Choose Series)"/>
    <s v="Adir Levy"/>
    <n v="4.8"/>
    <n v="8170"/>
    <n v="4"/>
    <x v="4"/>
    <x v="1"/>
  </r>
  <r>
    <s v="What to Expect When You're Expecting"/>
    <s v="Heidi Murkoff"/>
    <n v="4.4000000000000004"/>
    <n v="3341"/>
    <n v="4"/>
    <x v="1"/>
    <x v="0"/>
  </r>
  <r>
    <s v="Wheat Belly: Lose the Wheat, Lose the Weight, and Find Your Path Back to Health"/>
    <s v="William Davis"/>
    <n v="4.4000000000000004"/>
    <n v="7497"/>
    <n v="3"/>
    <x v="10"/>
    <x v="0"/>
  </r>
  <r>
    <s v="Wheat Belly: Lose the Wheat, Lose the Weight, and Find Your Path Back to Health"/>
    <s v="William Davis"/>
    <n v="4.4000000000000004"/>
    <n v="7497"/>
    <n v="2"/>
    <x v="9"/>
    <x v="0"/>
  </r>
  <r>
    <s v="When Breath Becomes Air"/>
    <s v="Paul Kalanithi"/>
    <n v="4.8"/>
    <n v="13779"/>
    <n v="2"/>
    <x v="0"/>
    <x v="0"/>
  </r>
  <r>
    <s v="Where the Crawdads Sing"/>
    <s v="Delia Owens"/>
    <n v="4.8"/>
    <n v="87841"/>
    <n v="2"/>
    <x v="4"/>
    <x v="1"/>
  </r>
  <r>
    <s v="Where the Wild Things Are"/>
    <s v="Maurice Sendak"/>
    <n v="4.8"/>
    <n v="9967"/>
    <n v="2"/>
    <x v="7"/>
    <x v="1"/>
  </r>
  <r>
    <s v="Whose Boat Is This Boat?: Comments That Don't Help in the Aftermath of a Hurricane"/>
    <s v="The Staff of The Late Show with"/>
    <n v="4.5999999999999996"/>
    <n v="6669"/>
    <n v="2"/>
    <x v="2"/>
    <x v="0"/>
  </r>
  <r>
    <s v="Wild: From Lost to Found on the Pacific Crest Trail"/>
    <s v="Cheryl Strayed"/>
    <n v="4.4000000000000004"/>
    <n v="17044"/>
    <n v="1"/>
    <x v="10"/>
    <x v="0"/>
  </r>
  <r>
    <s v="Winter of the World: Book Two of the Century Trilogy"/>
    <s v="Ken Follett"/>
    <n v="4.5"/>
    <n v="10760"/>
    <n v="0"/>
    <x v="10"/>
    <x v="1"/>
  </r>
  <r>
    <s v="Women Food and God: An Unexpected Path to Almost Everything"/>
    <s v="Geneen Roth"/>
    <n v="4.2"/>
    <n v="1302"/>
    <n v="0"/>
    <x v="6"/>
    <x v="0"/>
  </r>
  <r>
    <s v="Wonder"/>
    <s v="R. J. Palacio"/>
    <n v="4.8"/>
    <n v="21625"/>
    <n v="0"/>
    <x v="9"/>
    <x v="1"/>
  </r>
  <r>
    <s v="Wonder"/>
    <s v="R. J. Palacio"/>
    <n v="4.8"/>
    <n v="21625"/>
    <n v="0"/>
    <x v="5"/>
    <x v="1"/>
  </r>
  <r>
    <s v="Wonder"/>
    <s v="R. J. Palacio"/>
    <n v="4.8"/>
    <n v="21625"/>
    <n v="0"/>
    <x v="8"/>
    <x v="1"/>
  </r>
  <r>
    <s v="Wonder"/>
    <s v="R. J. Palacio"/>
    <n v="4.8"/>
    <n v="21625"/>
    <n v="0"/>
    <x v="0"/>
    <x v="1"/>
  </r>
  <r>
    <s v="Wonder"/>
    <s v="R. J. Palacio"/>
    <n v="4.8"/>
    <n v="21625"/>
    <n v="0"/>
    <x v="3"/>
    <x v="1"/>
  </r>
  <r>
    <s v="Wrecking Ball (Diary of a Wimpy Kid Book 14)"/>
    <s v="Jeff Kinney"/>
    <n v="4.9000000000000004"/>
    <n v="9413"/>
    <n v="0"/>
    <x v="4"/>
    <x v="1"/>
  </r>
  <r>
    <s v="You Are a Badass: How to Stop Doubting Your Greatness and Start Living an Awesome Life"/>
    <s v="Jen Sincero"/>
    <n v="4.7"/>
    <n v="14331"/>
    <n v="0"/>
    <x v="0"/>
    <x v="0"/>
  </r>
  <r>
    <s v="You Are a Badass: How to Stop Doubting Your Greatness and Start Living an Awesome Life"/>
    <s v="Jen Sincero"/>
    <n v="4.7"/>
    <n v="14331"/>
    <n v="0"/>
    <x v="3"/>
    <x v="0"/>
  </r>
  <r>
    <s v="You Are a Badass: How to Stop Doubting Your Greatness and Start Living an Awesome Life"/>
    <s v="Jen Sincero"/>
    <n v="4.7"/>
    <n v="14331"/>
    <n v="0"/>
    <x v="2"/>
    <x v="0"/>
  </r>
  <r>
    <s v="You Are a Badass: How to Stop Doubting Your Greatness and Start Living an Awesome Life"/>
    <s v="Jen Sincero"/>
    <n v="4.7"/>
    <n v="14331"/>
    <n v="0"/>
    <x v="4"/>
    <x v="0"/>
  </r>
  <r>
    <m/>
    <m/>
    <m/>
    <m/>
    <m/>
    <x v="11"/>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0">
  <r>
    <x v="0"/>
    <s v="JJ Smith"/>
    <n v="4.7"/>
    <n v="17350"/>
    <n v="105"/>
    <n v="2016"/>
    <s v="Non Fiction"/>
    <m/>
  </r>
  <r>
    <x v="1"/>
    <s v="Stephen King"/>
    <n v="4.5999999999999996"/>
    <n v="2052"/>
    <n v="105"/>
    <n v="2011"/>
    <s v="Fiction"/>
    <m/>
  </r>
  <r>
    <x v="2"/>
    <s v="Jordan B. Peterson"/>
    <n v="4.7"/>
    <n v="18979"/>
    <n v="82"/>
    <n v="2018"/>
    <s v="Non Fiction"/>
    <m/>
  </r>
  <r>
    <x v="3"/>
    <s v="George Orwell"/>
    <n v="4.7"/>
    <n v="21424"/>
    <n v="54"/>
    <n v="2017"/>
    <s v="Fiction"/>
    <m/>
  </r>
  <r>
    <x v="4"/>
    <s v="National Geographic Kids"/>
    <n v="4.8"/>
    <n v="7665"/>
    <n v="53"/>
    <n v="2019"/>
    <s v="Non Fiction"/>
    <m/>
  </r>
  <r>
    <x v="5"/>
    <s v="George R. R. Martin"/>
    <n v="4.4000000000000004"/>
    <n v="12643"/>
    <n v="52"/>
    <n v="2011"/>
    <s v="Fiction"/>
    <m/>
  </r>
  <r>
    <x v="6"/>
    <s v="George R. R. Martin"/>
    <n v="4.7"/>
    <n v="19735"/>
    <n v="46"/>
    <n v="2014"/>
    <s v="Fiction"/>
    <m/>
  </r>
  <r>
    <x v="7"/>
    <s v="Amor Towles"/>
    <n v="4.7"/>
    <n v="19699"/>
    <n v="46"/>
    <n v="2017"/>
    <s v="Fiction"/>
    <m/>
  </r>
  <r>
    <x v="8"/>
    <s v="James Comey"/>
    <n v="4.7"/>
    <n v="5983"/>
    <n v="46"/>
    <n v="2018"/>
    <s v="Non Fiction"/>
    <m/>
  </r>
  <r>
    <x v="9"/>
    <s v="Fredrik Backman"/>
    <n v="4.5999999999999996"/>
    <n v="23848"/>
    <n v="46"/>
    <n v="2016"/>
    <s v="Fiction"/>
    <m/>
  </r>
  <r>
    <x v="9"/>
    <s v="Fredrik Backman"/>
    <n v="4.5999999999999996"/>
    <n v="23848"/>
    <n v="46"/>
    <n v="2017"/>
    <s v="Fiction"/>
    <m/>
  </r>
  <r>
    <x v="10"/>
    <s v="Larry Schweikart"/>
    <n v="4.5999999999999996"/>
    <n v="460"/>
    <n v="46"/>
    <n v="2010"/>
    <s v="Non Fiction"/>
    <m/>
  </r>
  <r>
    <x v="11"/>
    <s v="Jaycee Dugard"/>
    <n v="4.5999999999999996"/>
    <n v="4149"/>
    <n v="46"/>
    <n v="2011"/>
    <s v="Non Fiction"/>
    <m/>
  </r>
  <r>
    <x v="12"/>
    <s v="Madeleine L'Engle"/>
    <n v="4.5"/>
    <n v="5153"/>
    <n v="46"/>
    <n v="2018"/>
    <s v="Fiction"/>
    <m/>
  </r>
  <r>
    <x v="13"/>
    <s v="Steve Harvey"/>
    <n v="4.5999999999999996"/>
    <n v="5013"/>
    <n v="46"/>
    <n v="2009"/>
    <s v="Non Fiction"/>
    <m/>
  </r>
  <r>
    <x v="14"/>
    <s v="Adult Coloring Book Designs"/>
    <n v="4.5"/>
    <n v="2313"/>
    <n v="46"/>
    <n v="2016"/>
    <s v="Non Fiction"/>
    <m/>
  </r>
  <r>
    <x v="15"/>
    <s v="Blue Star Coloring"/>
    <n v="4.5999999999999996"/>
    <n v="2925"/>
    <n v="42"/>
    <n v="2015"/>
    <s v="Non Fiction"/>
    <m/>
  </r>
  <r>
    <x v="16"/>
    <s v="Blue Star Coloring"/>
    <n v="4.4000000000000004"/>
    <n v="2951"/>
    <n v="40"/>
    <n v="2015"/>
    <s v="Non Fiction"/>
    <m/>
  </r>
  <r>
    <x v="17"/>
    <s v="Coloring Books for Adults"/>
    <n v="4.5"/>
    <n v="2426"/>
    <n v="40"/>
    <n v="2015"/>
    <s v="Non Fiction"/>
    <m/>
  </r>
  <r>
    <x v="18"/>
    <s v="Ron Chernow"/>
    <n v="4.8"/>
    <n v="9198"/>
    <n v="40"/>
    <n v="2016"/>
    <s v="Non Fiction"/>
    <m/>
  </r>
  <r>
    <x v="19"/>
    <s v="Anthony Doerr"/>
    <n v="4.5999999999999996"/>
    <n v="36348"/>
    <n v="40"/>
    <n v="2014"/>
    <s v="Fiction"/>
    <m/>
  </r>
  <r>
    <x v="19"/>
    <s v="Anthony Doerr"/>
    <n v="4.5999999999999996"/>
    <n v="36348"/>
    <n v="40"/>
    <n v="2015"/>
    <s v="Fiction"/>
    <m/>
  </r>
  <r>
    <x v="20"/>
    <s v="Veronica Roth"/>
    <n v="3.9"/>
    <n v="6310"/>
    <n v="39"/>
    <n v="2013"/>
    <s v="Fiction"/>
    <m/>
  </r>
  <r>
    <x v="21"/>
    <s v="Chris Kyle"/>
    <n v="4.5999999999999996"/>
    <n v="15921"/>
    <n v="36"/>
    <n v="2015"/>
    <s v="Non Fiction"/>
    <m/>
  </r>
  <r>
    <x v="22"/>
    <s v="Khaled Hosseini"/>
    <n v="4.3"/>
    <n v="12159"/>
    <n v="32"/>
    <n v="2013"/>
    <s v="Fiction"/>
    <m/>
  </r>
  <r>
    <x v="23"/>
    <s v="Glenn Beck"/>
    <n v="4.5999999999999996"/>
    <n v="798"/>
    <n v="32"/>
    <n v="2009"/>
    <s v="Non Fiction"/>
    <m/>
  </r>
  <r>
    <x v="24"/>
    <s v="Neil deGrasse Tyson"/>
    <n v="4.7"/>
    <n v="9374"/>
    <n v="30"/>
    <n v="2017"/>
    <s v="Non Fiction"/>
    <m/>
  </r>
  <r>
    <x v="25"/>
    <s v="Mark Twain"/>
    <n v="4.2"/>
    <n v="491"/>
    <n v="30"/>
    <n v="2010"/>
    <s v="Non Fiction"/>
    <m/>
  </r>
  <r>
    <x v="26"/>
    <s v="DK"/>
    <n v="4.5999999999999996"/>
    <n v="5360"/>
    <n v="30"/>
    <n v="2015"/>
    <s v="Non Fiction"/>
    <m/>
  </r>
  <r>
    <x v="27"/>
    <s v="Angie Grace"/>
    <n v="4.5999999999999996"/>
    <n v="1909"/>
    <n v="30"/>
    <n v="2015"/>
    <s v="Non Fiction"/>
    <m/>
  </r>
  <r>
    <x v="28"/>
    <s v="Ina Garten"/>
    <n v="4.8"/>
    <n v="1296"/>
    <n v="30"/>
    <n v="2012"/>
    <s v="Non Fiction"/>
    <m/>
  </r>
  <r>
    <x v="29"/>
    <s v="Ina Garten"/>
    <n v="4.7"/>
    <n v="615"/>
    <n v="28"/>
    <n v="2010"/>
    <s v="Non Fiction"/>
    <m/>
  </r>
  <r>
    <x v="30"/>
    <s v="Michelle Obama"/>
    <n v="4.8"/>
    <n v="61133"/>
    <n v="28"/>
    <n v="2018"/>
    <s v="Non Fiction"/>
    <m/>
  </r>
  <r>
    <x v="30"/>
    <s v="Michelle Obama"/>
    <n v="4.8"/>
    <n v="61133"/>
    <n v="28"/>
    <n v="2019"/>
    <s v="Non Fiction"/>
    <m/>
  </r>
  <r>
    <x v="31"/>
    <s v="Atul Gawande"/>
    <n v="4.8"/>
    <n v="11113"/>
    <n v="28"/>
    <n v="2015"/>
    <s v="Non Fiction"/>
    <m/>
  </r>
  <r>
    <x v="32"/>
    <s v="Ta-Nehisi Coates"/>
    <n v="4.7"/>
    <n v="10070"/>
    <n v="28"/>
    <n v="2015"/>
    <s v="Non Fiction"/>
    <m/>
  </r>
  <r>
    <x v="32"/>
    <s v="Ta-Nehisi Coates"/>
    <n v="4.7"/>
    <n v="10070"/>
    <n v="28"/>
    <n v="2016"/>
    <s v="Non Fiction"/>
    <m/>
  </r>
  <r>
    <x v="33"/>
    <s v="Bruce Springsteen"/>
    <n v="4.7"/>
    <n v="3729"/>
    <n v="27"/>
    <n v="2016"/>
    <s v="Non Fiction"/>
    <m/>
  </r>
  <r>
    <x v="34"/>
    <s v="Stephenie Meyer"/>
    <n v="4.5999999999999996"/>
    <n v="9769"/>
    <n v="27"/>
    <n v="2009"/>
    <s v="Fiction"/>
    <m/>
  </r>
  <r>
    <x v="35"/>
    <s v="Glenn Beck"/>
    <n v="4.5"/>
    <n v="471"/>
    <n v="27"/>
    <n v="2010"/>
    <s v="Non Fiction"/>
    <m/>
  </r>
  <r>
    <x v="36"/>
    <s v="Bill Martin Jr."/>
    <n v="4.9000000000000004"/>
    <n v="14344"/>
    <n v="27"/>
    <n v="2017"/>
    <s v="Fiction"/>
    <m/>
  </r>
  <r>
    <x v="36"/>
    <s v="Bill Martin Jr."/>
    <n v="4.9000000000000004"/>
    <n v="14344"/>
    <n v="25"/>
    <n v="2019"/>
    <s v="Fiction"/>
    <m/>
  </r>
  <r>
    <x v="37"/>
    <s v="Jeff Kinney"/>
    <n v="4.8"/>
    <n v="4505"/>
    <n v="25"/>
    <n v="2011"/>
    <s v="Fiction"/>
    <m/>
  </r>
  <r>
    <x v="38"/>
    <s v="Sasha O'Hara"/>
    <n v="4.5999999999999996"/>
    <n v="10369"/>
    <n v="24"/>
    <n v="2016"/>
    <s v="Non Fiction"/>
    <m/>
  </r>
  <r>
    <x v="39"/>
    <s v="David Goggins"/>
    <n v="4.8"/>
    <n v="16244"/>
    <n v="24"/>
    <n v="2019"/>
    <s v="Non Fiction"/>
    <m/>
  </r>
  <r>
    <x v="40"/>
    <s v="Thomas Piketty"/>
    <n v="4.5"/>
    <n v="2884"/>
    <n v="24"/>
    <n v="2014"/>
    <s v="Non Fiction"/>
    <m/>
  </r>
  <r>
    <x v="41"/>
    <s v="Suzanne Collins"/>
    <n v="4.7"/>
    <n v="22614"/>
    <n v="24"/>
    <n v="2010"/>
    <s v="Fiction"/>
    <m/>
  </r>
  <r>
    <x v="41"/>
    <s v="Suzanne Collins"/>
    <n v="4.7"/>
    <n v="22614"/>
    <n v="24"/>
    <n v="2011"/>
    <s v="Fiction"/>
    <m/>
  </r>
  <r>
    <x v="41"/>
    <s v="Suzanne Collins"/>
    <n v="4.7"/>
    <n v="22614"/>
    <n v="23"/>
    <n v="2012"/>
    <s v="Fiction"/>
    <m/>
  </r>
  <r>
    <x v="42"/>
    <s v="Chrissy Teigen"/>
    <n v="4.7"/>
    <n v="4761"/>
    <n v="23"/>
    <n v="2016"/>
    <s v="Non Fiction"/>
    <m/>
  </r>
  <r>
    <x v="43"/>
    <s v="Francis Chan"/>
    <n v="4.7"/>
    <n v="1542"/>
    <n v="23"/>
    <n v="2009"/>
    <s v="Non Fiction"/>
    <m/>
  </r>
  <r>
    <x v="43"/>
    <s v="Francis Chan"/>
    <n v="4.7"/>
    <n v="1542"/>
    <n v="23"/>
    <n v="2010"/>
    <s v="Non Fiction"/>
    <m/>
  </r>
  <r>
    <x v="43"/>
    <s v="Francis Chan"/>
    <n v="4.7"/>
    <n v="1542"/>
    <n v="23"/>
    <n v="2011"/>
    <s v="Non Fiction"/>
    <m/>
  </r>
  <r>
    <x v="44"/>
    <s v="Kevin Kwan"/>
    <n v="4.3"/>
    <n v="6143"/>
    <n v="22"/>
    <n v="2018"/>
    <s v="Fiction"/>
    <m/>
  </r>
  <r>
    <x v="45"/>
    <s v="Marjorie Sarnat"/>
    <n v="4.8"/>
    <n v="4022"/>
    <n v="22"/>
    <n v="2015"/>
    <s v="Non Fiction"/>
    <m/>
  </r>
  <r>
    <x v="46"/>
    <s v="Marjorie Sarnat"/>
    <n v="4.8"/>
    <n v="3871"/>
    <n v="22"/>
    <n v="2015"/>
    <s v="Non Fiction"/>
    <m/>
  </r>
  <r>
    <x v="47"/>
    <s v="Abraham Verghese"/>
    <n v="4.5999999999999996"/>
    <n v="4866"/>
    <n v="22"/>
    <n v="2010"/>
    <s v="Fiction"/>
    <m/>
  </r>
  <r>
    <x v="47"/>
    <s v="Abraham Verghese"/>
    <n v="4.5999999999999996"/>
    <n v="4866"/>
    <n v="22"/>
    <n v="2011"/>
    <s v="Fiction"/>
    <m/>
  </r>
  <r>
    <x v="48"/>
    <s v="Brené Brown"/>
    <n v="4.8"/>
    <n v="1329"/>
    <n v="22"/>
    <n v="2013"/>
    <s v="Non Fiction"/>
    <m/>
  </r>
  <r>
    <x v="49"/>
    <s v="Malcolm Gladwell"/>
    <n v="4.4000000000000004"/>
    <n v="4642"/>
    <n v="21"/>
    <n v="2013"/>
    <s v="Non Fiction"/>
    <m/>
  </r>
  <r>
    <x v="50"/>
    <s v="Charlaine Harris"/>
    <n v="4.5999999999999996"/>
    <n v="1541"/>
    <n v="21"/>
    <n v="2009"/>
    <s v="Fiction"/>
    <m/>
  </r>
  <r>
    <x v="51"/>
    <s v="Charlaine Harris"/>
    <n v="4.3"/>
    <n v="1924"/>
    <n v="21"/>
    <n v="2010"/>
    <s v="Fiction"/>
    <m/>
  </r>
  <r>
    <x v="52"/>
    <s v="Charlaine Harris"/>
    <n v="4.2"/>
    <n v="2094"/>
    <n v="21"/>
    <n v="2011"/>
    <s v="Fiction"/>
    <m/>
  </r>
  <r>
    <x v="53"/>
    <s v="Rod Campbell"/>
    <n v="4.8"/>
    <n v="10922"/>
    <n v="21"/>
    <n v="2015"/>
    <s v="Fiction"/>
    <m/>
  </r>
  <r>
    <x v="53"/>
    <s v="Rod Campbell"/>
    <n v="4.8"/>
    <n v="10922"/>
    <n v="21"/>
    <n v="2016"/>
    <s v="Fiction"/>
    <m/>
  </r>
  <r>
    <x v="53"/>
    <s v="Rod Campbell"/>
    <n v="4.8"/>
    <n v="10922"/>
    <n v="21"/>
    <n v="2017"/>
    <s v="Fiction"/>
    <m/>
  </r>
  <r>
    <x v="53"/>
    <s v="Rod Campbell"/>
    <n v="4.8"/>
    <n v="10922"/>
    <n v="21"/>
    <n v="2018"/>
    <s v="Fiction"/>
    <m/>
  </r>
  <r>
    <x v="54"/>
    <s v="George W. Bush"/>
    <n v="4.5999999999999996"/>
    <n v="2137"/>
    <n v="21"/>
    <n v="2010"/>
    <s v="Non Fiction"/>
    <m/>
  </r>
  <r>
    <x v="55"/>
    <s v="Tony Hsieh"/>
    <n v="4.5999999999999996"/>
    <n v="1651"/>
    <n v="20"/>
    <n v="2010"/>
    <s v="Non Fiction"/>
    <m/>
  </r>
  <r>
    <x v="56"/>
    <s v="American Psychiatric Association"/>
    <n v="4.5"/>
    <n v="6679"/>
    <n v="20"/>
    <n v="2013"/>
    <s v="Non Fiction"/>
    <m/>
  </r>
  <r>
    <x v="56"/>
    <s v="American Psychiatric Association"/>
    <n v="4.5"/>
    <n v="6679"/>
    <n v="20"/>
    <n v="2014"/>
    <s v="Non Fiction"/>
    <m/>
  </r>
  <r>
    <x v="57"/>
    <s v="Jeff Kinney"/>
    <n v="4.8"/>
    <n v="6812"/>
    <n v="20"/>
    <n v="2013"/>
    <s v="Fiction"/>
    <m/>
  </r>
  <r>
    <x v="58"/>
    <s v="Jeff Kinney"/>
    <n v="4.8"/>
    <n v="3837"/>
    <n v="20"/>
    <n v="2009"/>
    <s v="Fiction"/>
    <m/>
  </r>
  <r>
    <x v="59"/>
    <s v="Jeff Kinney"/>
    <n v="4.8"/>
    <n v="6540"/>
    <n v="20"/>
    <n v="2014"/>
    <s v="Fiction"/>
    <m/>
  </r>
  <r>
    <x v="60"/>
    <s v="M Prefontaine"/>
    <n v="4.5999999999999996"/>
    <n v="7955"/>
    <n v="20"/>
    <n v="2019"/>
    <s v="Non Fiction"/>
    <m/>
  </r>
  <r>
    <x v="61"/>
    <s v="Veronica Roth"/>
    <n v="4.5999999999999996"/>
    <n v="27098"/>
    <n v="20"/>
    <n v="2013"/>
    <s v="Fiction"/>
    <m/>
  </r>
  <r>
    <x v="61"/>
    <s v="Veronica Roth"/>
    <n v="4.5999999999999996"/>
    <n v="27098"/>
    <n v="20"/>
    <n v="2014"/>
    <s v="Fiction"/>
    <m/>
  </r>
  <r>
    <x v="62"/>
    <s v="Veronica Roth"/>
    <n v="4.5"/>
    <n v="17684"/>
    <n v="20"/>
    <n v="2014"/>
    <s v="Fiction"/>
    <m/>
  </r>
  <r>
    <x v="63"/>
    <s v="Zhi Gang Sha"/>
    <n v="4.5999999999999996"/>
    <n v="37"/>
    <n v="20"/>
    <n v="2009"/>
    <s v="Non Fiction"/>
    <m/>
  </r>
  <r>
    <x v="64"/>
    <s v="Stephen King"/>
    <n v="4.7"/>
    <n v="15845"/>
    <n v="20"/>
    <n v="2013"/>
    <s v="Fiction"/>
    <m/>
  </r>
  <r>
    <x v="65"/>
    <s v="Jeff Kinney"/>
    <n v="4.8"/>
    <n v="3181"/>
    <n v="20"/>
    <n v="2009"/>
    <s v="Fiction"/>
    <m/>
  </r>
  <r>
    <x v="66"/>
    <s v="Dav Pilkey"/>
    <n v="4.9000000000000004"/>
    <n v="5062"/>
    <n v="20"/>
    <n v="2018"/>
    <s v="Fiction"/>
    <m/>
  </r>
  <r>
    <x v="67"/>
    <s v="Dav Pilkey"/>
    <n v="4.9000000000000004"/>
    <n v="4786"/>
    <n v="20"/>
    <n v="2017"/>
    <s v="Fiction"/>
    <m/>
  </r>
  <r>
    <x v="68"/>
    <s v="Dav Pilkey"/>
    <n v="4.9000000000000004"/>
    <n v="7235"/>
    <n v="20"/>
    <n v="2018"/>
    <s v="Fiction"/>
    <m/>
  </r>
  <r>
    <x v="68"/>
    <s v="Dav Pilkey"/>
    <n v="4.9000000000000004"/>
    <n v="7235"/>
    <n v="20"/>
    <n v="2019"/>
    <s v="Fiction"/>
    <m/>
  </r>
  <r>
    <x v="69"/>
    <s v="Dav Pilkey"/>
    <n v="4.9000000000000004"/>
    <n v="12619"/>
    <n v="19"/>
    <n v="2019"/>
    <s v="Fiction"/>
    <m/>
  </r>
  <r>
    <x v="70"/>
    <s v="Dav Pilkey"/>
    <n v="4.9000000000000004"/>
    <n v="9089"/>
    <n v="19"/>
    <n v="2019"/>
    <s v="Fiction"/>
    <m/>
  </r>
  <r>
    <x v="71"/>
    <s v="Dav Pilkey"/>
    <n v="4.9000000000000004"/>
    <n v="5470"/>
    <n v="19"/>
    <n v="2018"/>
    <s v="Fiction"/>
    <m/>
  </r>
  <r>
    <x v="72"/>
    <s v="Jeff Kinney"/>
    <n v="4.8"/>
    <n v="5118"/>
    <n v="19"/>
    <n v="2016"/>
    <s v="Fiction"/>
    <m/>
  </r>
  <r>
    <x v="73"/>
    <s v="Marty Noble"/>
    <n v="4.5999999999999996"/>
    <n v="2134"/>
    <n v="18"/>
    <n v="2015"/>
    <s v="Non Fiction"/>
    <m/>
  </r>
  <r>
    <x v="74"/>
    <s v="Daniel H. Pink"/>
    <n v="4.5"/>
    <n v="2525"/>
    <n v="18"/>
    <n v="2010"/>
    <s v="Non Fiction"/>
    <m/>
  </r>
  <r>
    <x v="75"/>
    <s v="David Zinczenko"/>
    <n v="4.5"/>
    <n v="720"/>
    <n v="18"/>
    <n v="2009"/>
    <s v="Non Fiction"/>
    <m/>
  </r>
  <r>
    <x v="76"/>
    <s v="David Zinczenko"/>
    <n v="4.3"/>
    <n v="956"/>
    <n v="18"/>
    <n v="2009"/>
    <s v="Non Fiction"/>
    <m/>
  </r>
  <r>
    <x v="77"/>
    <s v="Joel Fuhrman MD"/>
    <n v="4.5"/>
    <n v="6346"/>
    <n v="18"/>
    <n v="2011"/>
    <s v="Non Fiction"/>
    <m/>
  </r>
  <r>
    <x v="77"/>
    <s v="Joel Fuhrman MD"/>
    <n v="4.5"/>
    <n v="6346"/>
    <n v="18"/>
    <n v="2012"/>
    <s v="Non Fiction"/>
    <m/>
  </r>
  <r>
    <x v="78"/>
    <s v="Stephenie Meyer"/>
    <n v="4.7"/>
    <n v="5505"/>
    <n v="18"/>
    <n v="2009"/>
    <s v="Fiction"/>
    <m/>
  </r>
  <r>
    <x v="79"/>
    <s v="Stephenie Meyer"/>
    <n v="4.7"/>
    <n v="5505"/>
    <n v="18"/>
    <n v="2009"/>
    <s v="Fiction"/>
    <m/>
  </r>
  <r>
    <x v="80"/>
    <s v="Tara Westover"/>
    <n v="4.7"/>
    <n v="28729"/>
    <n v="18"/>
    <n v="2018"/>
    <s v="Non Fiction"/>
    <m/>
  </r>
  <r>
    <x v="80"/>
    <s v="Tara Westover"/>
    <n v="4.7"/>
    <n v="28729"/>
    <n v="18"/>
    <n v="2019"/>
    <s v="Non Fiction"/>
    <m/>
  </r>
  <r>
    <x v="81"/>
    <s v="Johanna Basford"/>
    <n v="4.7"/>
    <n v="5413"/>
    <n v="18"/>
    <n v="2015"/>
    <s v="Non Fiction"/>
    <m/>
  </r>
  <r>
    <x v="82"/>
    <s v="Ray Bradbury"/>
    <n v="4.5999999999999996"/>
    <n v="10721"/>
    <n v="18"/>
    <n v="2016"/>
    <s v="Fiction"/>
    <m/>
  </r>
  <r>
    <x v="82"/>
    <s v="Ray Bradbury"/>
    <n v="4.5999999999999996"/>
    <n v="10721"/>
    <n v="18"/>
    <n v="2018"/>
    <s v="Fiction"/>
    <m/>
  </r>
  <r>
    <x v="83"/>
    <s v="J.K. Rowling"/>
    <n v="4.7"/>
    <n v="4370"/>
    <n v="18"/>
    <n v="2016"/>
    <s v="Fiction"/>
    <m/>
  </r>
  <r>
    <x v="84"/>
    <s v="Bob Woodward"/>
    <n v="4.4000000000000004"/>
    <n v="6042"/>
    <n v="17"/>
    <n v="2018"/>
    <s v="Non Fiction"/>
    <m/>
  </r>
  <r>
    <x v="85"/>
    <s v="E L James"/>
    <n v="4.4000000000000004"/>
    <n v="23631"/>
    <n v="17"/>
    <n v="2012"/>
    <s v="Fiction"/>
    <m/>
  </r>
  <r>
    <x v="86"/>
    <s v="E L James"/>
    <n v="4.5"/>
    <n v="20262"/>
    <n v="17"/>
    <n v="2012"/>
    <s v="Fiction"/>
    <m/>
  </r>
  <r>
    <x v="87"/>
    <s v="E L James"/>
    <n v="3.8"/>
    <n v="47265"/>
    <n v="17"/>
    <n v="2012"/>
    <s v="Fiction"/>
    <m/>
  </r>
  <r>
    <x v="87"/>
    <s v="E L James"/>
    <n v="3.8"/>
    <n v="47265"/>
    <n v="17"/>
    <n v="2013"/>
    <s v="Fiction"/>
    <m/>
  </r>
  <r>
    <x v="88"/>
    <s v="E L James"/>
    <n v="4.5"/>
    <n v="13964"/>
    <n v="17"/>
    <n v="2012"/>
    <s v="Fiction"/>
    <m/>
  </r>
  <r>
    <x v="89"/>
    <s v="Michael Wolff"/>
    <n v="4.2"/>
    <n v="13677"/>
    <n v="17"/>
    <n v="2018"/>
    <s v="Non Fiction"/>
    <m/>
  </r>
  <r>
    <x v="90"/>
    <s v="Roger Priddy"/>
    <n v="4.7"/>
    <n v="17323"/>
    <n v="17"/>
    <n v="2014"/>
    <s v="Non Fiction"/>
    <m/>
  </r>
  <r>
    <x v="90"/>
    <s v="Roger Priddy"/>
    <n v="4.7"/>
    <n v="17323"/>
    <n v="17"/>
    <n v="2015"/>
    <s v="Non Fiction"/>
    <m/>
  </r>
  <r>
    <x v="90"/>
    <s v="Roger Priddy"/>
    <n v="4.7"/>
    <n v="17323"/>
    <n v="17"/>
    <n v="2016"/>
    <s v="Non Fiction"/>
    <m/>
  </r>
  <r>
    <x v="90"/>
    <s v="Roger Priddy"/>
    <n v="4.7"/>
    <n v="17323"/>
    <n v="17"/>
    <n v="2017"/>
    <s v="Non Fiction"/>
    <m/>
  </r>
  <r>
    <x v="90"/>
    <s v="Roger Priddy"/>
    <n v="4.7"/>
    <n v="17323"/>
    <n v="17"/>
    <n v="2018"/>
    <s v="Non Fiction"/>
    <m/>
  </r>
  <r>
    <x v="91"/>
    <s v="Michael Pollan"/>
    <n v="4.4000000000000004"/>
    <n v="1555"/>
    <n v="17"/>
    <n v="2010"/>
    <s v="Non Fiction"/>
    <m/>
  </r>
  <r>
    <x v="92"/>
    <s v="RH Disney"/>
    <n v="4.7"/>
    <n v="3642"/>
    <n v="17"/>
    <n v="2014"/>
    <s v="Fiction"/>
    <m/>
  </r>
  <r>
    <x v="93"/>
    <s v="John Heilemann"/>
    <n v="4.4000000000000004"/>
    <n v="1215"/>
    <n v="17"/>
    <n v="2010"/>
    <s v="Non Fiction"/>
    <m/>
  </r>
  <r>
    <x v="94"/>
    <s v="George R.R. Martin"/>
    <n v="4.5999999999999996"/>
    <n v="5594"/>
    <n v="17"/>
    <n v="2011"/>
    <s v="Fiction"/>
    <m/>
  </r>
  <r>
    <x v="94"/>
    <s v="George R.R. Martin"/>
    <n v="4.5999999999999996"/>
    <n v="5594"/>
    <n v="17"/>
    <n v="2012"/>
    <s v="Fiction"/>
    <m/>
  </r>
  <r>
    <x v="94"/>
    <s v="George R.R. Martin"/>
    <n v="4.5999999999999996"/>
    <n v="5594"/>
    <n v="17"/>
    <n v="2013"/>
    <s v="Fiction"/>
    <m/>
  </r>
  <r>
    <x v="95"/>
    <s v="Peter A. Lillback"/>
    <n v="4.5"/>
    <n v="408"/>
    <n v="17"/>
    <n v="2010"/>
    <s v="Non Fiction"/>
    <m/>
  </r>
  <r>
    <x v="96"/>
    <s v="Brian Kilmeade"/>
    <n v="4.5999999999999996"/>
    <n v="4799"/>
    <n v="16"/>
    <n v="2013"/>
    <s v="Non Fiction"/>
    <m/>
  </r>
  <r>
    <x v="97"/>
    <s v="Giles Andreae"/>
    <n v="4.8"/>
    <n v="14038"/>
    <n v="16"/>
    <n v="2015"/>
    <s v="Fiction"/>
    <m/>
  </r>
  <r>
    <x v="97"/>
    <s v="Giles Andreae"/>
    <n v="4.8"/>
    <n v="14038"/>
    <n v="16"/>
    <n v="2016"/>
    <s v="Fiction"/>
    <m/>
  </r>
  <r>
    <x v="97"/>
    <s v="Giles Andreae"/>
    <n v="4.8"/>
    <n v="14038"/>
    <n v="16"/>
    <n v="2017"/>
    <s v="Fiction"/>
    <m/>
  </r>
  <r>
    <x v="97"/>
    <s v="Giles Andreae"/>
    <n v="4.8"/>
    <n v="14038"/>
    <n v="16"/>
    <n v="2018"/>
    <s v="Fiction"/>
    <m/>
  </r>
  <r>
    <x v="97"/>
    <s v="Giles Andreae"/>
    <n v="4.8"/>
    <n v="14038"/>
    <n v="16"/>
    <n v="2019"/>
    <s v="Fiction"/>
    <m/>
  </r>
  <r>
    <x v="98"/>
    <s v="Rachel Hollis"/>
    <n v="4.5999999999999996"/>
    <n v="7660"/>
    <n v="16"/>
    <n v="2019"/>
    <s v="Non Fiction"/>
    <m/>
  </r>
  <r>
    <x v="99"/>
    <s v="Rachel Hollis"/>
    <n v="4.5999999999999996"/>
    <n v="22288"/>
    <n v="16"/>
    <n v="2018"/>
    <s v="Non Fiction"/>
    <m/>
  </r>
  <r>
    <x v="99"/>
    <s v="Rachel Hollis"/>
    <n v="4.5999999999999996"/>
    <n v="22288"/>
    <n v="16"/>
    <n v="2019"/>
    <s v="Non Fiction"/>
    <m/>
  </r>
  <r>
    <x v="100"/>
    <s v="Glenn Beck"/>
    <n v="4.5999999999999996"/>
    <n v="1365"/>
    <n v="16"/>
    <n v="2009"/>
    <s v="Non Fiction"/>
    <m/>
  </r>
  <r>
    <x v="101"/>
    <s v="Harper Lee"/>
    <n v="3.6"/>
    <n v="14982"/>
    <n v="16"/>
    <n v="2015"/>
    <s v="Fiction"/>
    <m/>
  </r>
  <r>
    <x v="102"/>
    <s v="Adam Mansbach"/>
    <n v="4.8"/>
    <n v="9568"/>
    <n v="16"/>
    <n v="2011"/>
    <s v="Fiction"/>
    <m/>
  </r>
  <r>
    <x v="103"/>
    <s v="Sarah Palin"/>
    <n v="4.5999999999999996"/>
    <n v="1636"/>
    <n v="16"/>
    <n v="2009"/>
    <s v="Non Fiction"/>
    <m/>
  </r>
  <r>
    <x v="104"/>
    <s v="Gillian Flynn"/>
    <n v="4"/>
    <n v="57271"/>
    <n v="16"/>
    <n v="2012"/>
    <s v="Fiction"/>
    <m/>
  </r>
  <r>
    <x v="104"/>
    <s v="Gillian Flynn"/>
    <n v="4"/>
    <n v="57271"/>
    <n v="16"/>
    <n v="2013"/>
    <s v="Fiction"/>
    <m/>
  </r>
  <r>
    <x v="104"/>
    <s v="Gillian Flynn"/>
    <n v="4"/>
    <n v="57271"/>
    <n v="16"/>
    <n v="2014"/>
    <s v="Fiction"/>
    <m/>
  </r>
  <r>
    <x v="105"/>
    <s v="Pretty Simple Press"/>
    <n v="4.5999999999999996"/>
    <n v="10141"/>
    <n v="16"/>
    <n v="2019"/>
    <s v="Non Fiction"/>
    <m/>
  </r>
  <r>
    <x v="106"/>
    <s v="Jim Collins"/>
    <n v="4.5"/>
    <n v="3457"/>
    <n v="16"/>
    <n v="2009"/>
    <s v="Non Fiction"/>
    <m/>
  </r>
  <r>
    <x v="106"/>
    <s v="Jim Collins"/>
    <n v="4.5"/>
    <n v="3457"/>
    <n v="16"/>
    <n v="2010"/>
    <s v="Non Fiction"/>
    <m/>
  </r>
  <r>
    <x v="106"/>
    <s v="Jim Collins"/>
    <n v="4.5"/>
    <n v="3457"/>
    <n v="16"/>
    <n v="2011"/>
    <s v="Non Fiction"/>
    <m/>
  </r>
  <r>
    <x v="106"/>
    <s v="Jim Collins"/>
    <n v="4.5"/>
    <n v="3457"/>
    <n v="15"/>
    <n v="2012"/>
    <s v="Non Fiction"/>
    <m/>
  </r>
  <r>
    <x v="107"/>
    <s v="Margaret Wise Brown"/>
    <n v="4.8"/>
    <n v="8837"/>
    <n v="15"/>
    <n v="2017"/>
    <s v="Fiction"/>
    <m/>
  </r>
  <r>
    <x v="107"/>
    <s v="Margaret Wise Brown"/>
    <n v="4.8"/>
    <n v="8837"/>
    <n v="15"/>
    <n v="2018"/>
    <s v="Fiction"/>
    <m/>
  </r>
  <r>
    <x v="107"/>
    <s v="Margaret Wise Brown"/>
    <n v="4.8"/>
    <n v="8837"/>
    <n v="15"/>
    <n v="2019"/>
    <s v="Fiction"/>
    <m/>
  </r>
  <r>
    <x v="108"/>
    <s v="Sherri Duskey Rinker"/>
    <n v="4.9000000000000004"/>
    <n v="7038"/>
    <n v="15"/>
    <n v="2012"/>
    <s v="Fiction"/>
    <m/>
  </r>
  <r>
    <x v="108"/>
    <s v="Sherri Duskey Rinker"/>
    <n v="4.9000000000000004"/>
    <n v="7038"/>
    <n v="15"/>
    <n v="2013"/>
    <s v="Fiction"/>
    <m/>
  </r>
  <r>
    <x v="109"/>
    <s v="David Perlmutter MD"/>
    <n v="4.5999999999999996"/>
    <n v="5972"/>
    <n v="15"/>
    <n v="2014"/>
    <s v="Non Fiction"/>
    <m/>
  </r>
  <r>
    <x v="110"/>
    <s v="E L James"/>
    <n v="4.4000000000000004"/>
    <n v="25624"/>
    <n v="15"/>
    <n v="2015"/>
    <s v="Fiction"/>
    <m/>
  </r>
  <r>
    <x v="111"/>
    <s v="Raina Telgemeier"/>
    <n v="4.8"/>
    <n v="5476"/>
    <n v="15"/>
    <n v="2019"/>
    <s v="Non Fiction"/>
    <m/>
  </r>
  <r>
    <x v="112"/>
    <s v="Lin-Manuel Miranda"/>
    <n v="4.9000000000000004"/>
    <n v="5867"/>
    <n v="15"/>
    <n v="2016"/>
    <s v="Non Fiction"/>
    <m/>
  </r>
  <r>
    <x v="113"/>
    <s v="Phil Robertson"/>
    <n v="4.8"/>
    <n v="4148"/>
    <n v="15"/>
    <n v="2013"/>
    <s v="Non Fiction"/>
    <m/>
  </r>
  <r>
    <x v="114"/>
    <s v="J.K. Rowling"/>
    <n v="4.9000000000000004"/>
    <n v="19622"/>
    <n v="15"/>
    <n v="2016"/>
    <s v="Fiction"/>
    <m/>
  </r>
  <r>
    <x v="115"/>
    <s v="J.K. Rowling"/>
    <n v="4"/>
    <n v="23973"/>
    <n v="15"/>
    <n v="2016"/>
    <s v="Fiction"/>
    <m/>
  </r>
  <r>
    <x v="116"/>
    <s v="J. K. Rowling"/>
    <n v="4.9000000000000004"/>
    <n v="7758"/>
    <n v="15"/>
    <n v="2019"/>
    <s v="Fiction"/>
    <m/>
  </r>
  <r>
    <x v="117"/>
    <s v="J.K. Rowling"/>
    <n v="4.9000000000000004"/>
    <n v="3146"/>
    <n v="15"/>
    <n v="2017"/>
    <s v="Fiction"/>
    <m/>
  </r>
  <r>
    <x v="118"/>
    <s v="J.K. Rowling"/>
    <n v="4.9000000000000004"/>
    <n v="10052"/>
    <n v="15"/>
    <n v="2016"/>
    <s v="Fiction"/>
    <m/>
  </r>
  <r>
    <x v="119"/>
    <s v="Scholastic"/>
    <n v="4.7"/>
    <n v="3564"/>
    <n v="15"/>
    <n v="2015"/>
    <s v="Non Fiction"/>
    <m/>
  </r>
  <r>
    <x v="120"/>
    <s v="J. K. Rowling"/>
    <n v="4.8"/>
    <n v="13471"/>
    <n v="15"/>
    <n v="2016"/>
    <s v="Fiction"/>
    <m/>
  </r>
  <r>
    <x v="121"/>
    <s v="Mitch Albom"/>
    <n v="4.8"/>
    <n v="1930"/>
    <n v="15"/>
    <n v="2009"/>
    <s v="Non Fiction"/>
    <m/>
  </r>
  <r>
    <x v="122"/>
    <s v="Todd Burpo"/>
    <n v="4.7"/>
    <n v="15779"/>
    <n v="15"/>
    <n v="2011"/>
    <s v="Non Fiction"/>
    <m/>
  </r>
  <r>
    <x v="122"/>
    <s v="Todd Burpo"/>
    <n v="4.7"/>
    <n v="15779"/>
    <n v="15"/>
    <n v="2012"/>
    <s v="Non Fiction"/>
    <m/>
  </r>
  <r>
    <x v="123"/>
    <s v="J. D. Vance"/>
    <n v="4.4000000000000004"/>
    <n v="15526"/>
    <n v="14"/>
    <n v="2016"/>
    <s v="Non Fiction"/>
    <m/>
  </r>
  <r>
    <x v="123"/>
    <s v="J. D. Vance"/>
    <n v="4.4000000000000004"/>
    <n v="15526"/>
    <n v="14"/>
    <n v="2017"/>
    <s v="Non Fiction"/>
    <m/>
  </r>
  <r>
    <x v="124"/>
    <s v="Joanna Gaines"/>
    <n v="4.8"/>
    <n v="3776"/>
    <n v="14"/>
    <n v="2018"/>
    <s v="Non Fiction"/>
    <m/>
  </r>
  <r>
    <x v="125"/>
    <s v="Dale Carnegie"/>
    <n v="4.7"/>
    <n v="25001"/>
    <n v="14"/>
    <n v="2014"/>
    <s v="Non Fiction"/>
    <m/>
  </r>
  <r>
    <x v="125"/>
    <s v="Dale Carnegie"/>
    <n v="4.7"/>
    <n v="25001"/>
    <n v="14"/>
    <n v="2015"/>
    <s v="Non Fiction"/>
    <m/>
  </r>
  <r>
    <x v="125"/>
    <s v="Dale Carnegie"/>
    <n v="4.7"/>
    <n v="25001"/>
    <n v="14"/>
    <n v="2016"/>
    <s v="Non Fiction"/>
    <m/>
  </r>
  <r>
    <x v="125"/>
    <s v="Dale Carnegie"/>
    <n v="4.7"/>
    <n v="25001"/>
    <n v="14"/>
    <n v="2017"/>
    <s v="Non Fiction"/>
    <m/>
  </r>
  <r>
    <x v="125"/>
    <s v="Dale Carnegie"/>
    <n v="4.7"/>
    <n v="25001"/>
    <n v="14"/>
    <n v="2018"/>
    <s v="Non Fiction"/>
    <m/>
  </r>
  <r>
    <x v="126"/>
    <s v="Howard Stern"/>
    <n v="4.3"/>
    <n v="5272"/>
    <n v="14"/>
    <n v="2019"/>
    <s v="Non Fiction"/>
    <m/>
  </r>
  <r>
    <x v="127"/>
    <s v="Brandon Stanton"/>
    <n v="4.8"/>
    <n v="3490"/>
    <n v="14"/>
    <n v="2013"/>
    <s v="Non Fiction"/>
    <m/>
  </r>
  <r>
    <x v="127"/>
    <s v="Brandon Stanton"/>
    <n v="4.8"/>
    <n v="3490"/>
    <n v="14"/>
    <n v="2014"/>
    <s v="Non Fiction"/>
    <m/>
  </r>
  <r>
    <x v="128"/>
    <s v="Brandon Stanton"/>
    <n v="4.9000000000000004"/>
    <n v="2812"/>
    <n v="14"/>
    <n v="2015"/>
    <s v="Non Fiction"/>
    <m/>
  </r>
  <r>
    <x v="129"/>
    <s v="Allie Brosh"/>
    <n v="4.7"/>
    <n v="4896"/>
    <n v="14"/>
    <n v="2013"/>
    <s v="Non Fiction"/>
    <m/>
  </r>
  <r>
    <x v="130"/>
    <s v="Hopscotch Girls"/>
    <n v="4.8"/>
    <n v="9737"/>
    <n v="14"/>
    <n v="2019"/>
    <s v="Non Fiction"/>
    <m/>
  </r>
  <r>
    <x v="131"/>
    <s v="James Patterson"/>
    <n v="4.5999999999999996"/>
    <n v="1320"/>
    <n v="14"/>
    <n v="2009"/>
    <s v="Fiction"/>
    <m/>
  </r>
  <r>
    <x v="132"/>
    <s v="Ann Whitford Paul"/>
    <n v="4.8"/>
    <n v="16643"/>
    <n v="14"/>
    <n v="2017"/>
    <s v="Fiction"/>
    <m/>
  </r>
  <r>
    <x v="132"/>
    <s v="Ann Whitford Paul"/>
    <n v="4.8"/>
    <n v="16643"/>
    <n v="14"/>
    <n v="2019"/>
    <s v="Fiction"/>
    <m/>
  </r>
  <r>
    <x v="133"/>
    <s v="Gayle Forman"/>
    <n v="4.3"/>
    <n v="7153"/>
    <n v="14"/>
    <n v="2014"/>
    <s v="Fiction"/>
    <m/>
  </r>
  <r>
    <x v="134"/>
    <s v="Eric Larson"/>
    <n v="4.4000000000000004"/>
    <n v="4571"/>
    <n v="14"/>
    <n v="2011"/>
    <s v="Non Fiction"/>
    <m/>
  </r>
  <r>
    <x v="135"/>
    <s v="Dan Brown"/>
    <n v="4.0999999999999996"/>
    <n v="29651"/>
    <n v="14"/>
    <n v="2013"/>
    <s v="Fiction"/>
    <m/>
  </r>
  <r>
    <x v="136"/>
    <s v="Christopher Paolini"/>
    <n v="4.5999999999999996"/>
    <n v="5299"/>
    <n v="14"/>
    <n v="2011"/>
    <s v="Fiction"/>
    <m/>
  </r>
  <r>
    <x v="137"/>
    <s v="Jennifer Smith"/>
    <n v="4.4000000000000004"/>
    <n v="7396"/>
    <n v="14"/>
    <n v="2019"/>
    <s v="Non Fiction"/>
    <m/>
  </r>
  <r>
    <x v="137"/>
    <s v="Jennifer Smith"/>
    <n v="4.4000000000000004"/>
    <n v="7396"/>
    <n v="14"/>
    <n v="2018"/>
    <s v="Non Fiction"/>
    <m/>
  </r>
  <r>
    <x v="138"/>
    <s v="Lysa TerKeurst"/>
    <n v="4.8"/>
    <n v="7062"/>
    <n v="14"/>
    <n v="2019"/>
    <s v="Non Fiction"/>
    <m/>
  </r>
  <r>
    <x v="139"/>
    <s v="Sarah Young"/>
    <n v="4.9000000000000004"/>
    <n v="19576"/>
    <n v="14"/>
    <n v="2011"/>
    <s v="Non Fiction"/>
    <m/>
  </r>
  <r>
    <x v="139"/>
    <s v="Sarah Young"/>
    <n v="4.9000000000000004"/>
    <n v="19576"/>
    <n v="14"/>
    <n v="2012"/>
    <s v="Non Fiction"/>
    <m/>
  </r>
  <r>
    <x v="139"/>
    <s v="Sarah Young"/>
    <n v="4.9000000000000004"/>
    <n v="19576"/>
    <n v="14"/>
    <n v="2013"/>
    <s v="Non Fiction"/>
    <m/>
  </r>
  <r>
    <x v="139"/>
    <s v="Sarah Young"/>
    <n v="4.9000000000000004"/>
    <n v="19576"/>
    <n v="14"/>
    <n v="2014"/>
    <s v="Non Fiction"/>
    <m/>
  </r>
  <r>
    <x v="139"/>
    <s v="Sarah Young"/>
    <n v="4.9000000000000004"/>
    <n v="19576"/>
    <n v="14"/>
    <n v="2015"/>
    <s v="Non Fiction"/>
    <m/>
  </r>
  <r>
    <x v="139"/>
    <s v="Sarah Young"/>
    <n v="4.9000000000000004"/>
    <n v="19576"/>
    <n v="14"/>
    <n v="2016"/>
    <s v="Non Fiction"/>
    <m/>
  </r>
  <r>
    <x v="140"/>
    <s v="RH Disney"/>
    <n v="4.5999999999999996"/>
    <n v="978"/>
    <n v="13"/>
    <n v="2014"/>
    <s v="Fiction"/>
    <m/>
  </r>
  <r>
    <x v="141"/>
    <s v="Stephen King"/>
    <n v="4.5"/>
    <n v="4748"/>
    <n v="13"/>
    <n v="2013"/>
    <s v="Fiction"/>
    <m/>
  </r>
  <r>
    <x v="142"/>
    <s v="David Grann"/>
    <n v="4.5999999999999996"/>
    <n v="8393"/>
    <n v="13"/>
    <n v="2017"/>
    <s v="Non Fiction"/>
    <m/>
  </r>
  <r>
    <x v="143"/>
    <s v="Bill O'Reilly"/>
    <n v="4.5"/>
    <n v="11391"/>
    <n v="13"/>
    <n v="2013"/>
    <s v="Non Fiction"/>
    <m/>
  </r>
  <r>
    <x v="144"/>
    <s v="Bill O'Reilly"/>
    <n v="4.5999999999999996"/>
    <n v="8634"/>
    <n v="13"/>
    <n v="2012"/>
    <s v="Non Fiction"/>
    <m/>
  </r>
  <r>
    <x v="145"/>
    <s v="Bill O'Reilly"/>
    <n v="4.7"/>
    <n v="9342"/>
    <n v="13"/>
    <n v="2011"/>
    <s v="Non Fiction"/>
    <m/>
  </r>
  <r>
    <x v="145"/>
    <s v="Bill O'Reilly"/>
    <n v="4.7"/>
    <n v="9342"/>
    <n v="13"/>
    <n v="2012"/>
    <s v="Non Fiction"/>
    <m/>
  </r>
  <r>
    <x v="146"/>
    <s v="Bill O'Reilly"/>
    <n v="4.5999999999999996"/>
    <n v="10927"/>
    <n v="13"/>
    <n v="2014"/>
    <s v="Non Fiction"/>
    <m/>
  </r>
  <r>
    <x v="147"/>
    <s v="Bill O'Reilly"/>
    <n v="4.5999999999999996"/>
    <n v="5235"/>
    <n v="13"/>
    <n v="2015"/>
    <s v="Non Fiction"/>
    <m/>
  </r>
  <r>
    <x v="148"/>
    <s v="Bill O'Reilly"/>
    <n v="4.8"/>
    <n v="8916"/>
    <n v="13"/>
    <n v="2016"/>
    <s v="Non Fiction"/>
    <m/>
  </r>
  <r>
    <x v="149"/>
    <s v="Anthony Bourdain"/>
    <n v="4.8"/>
    <n v="2507"/>
    <n v="13"/>
    <n v="2018"/>
    <s v="Non Fiction"/>
    <m/>
  </r>
  <r>
    <x v="150"/>
    <s v="Rob Elliott"/>
    <n v="4.5"/>
    <n v="3673"/>
    <n v="13"/>
    <n v="2013"/>
    <s v="Non Fiction"/>
    <m/>
  </r>
  <r>
    <x v="150"/>
    <s v="Rob Elliott"/>
    <n v="4.5"/>
    <n v="3673"/>
    <n v="13"/>
    <n v="2014"/>
    <s v="Non Fiction"/>
    <m/>
  </r>
  <r>
    <x v="150"/>
    <s v="Rob Elliott"/>
    <n v="4.5"/>
    <n v="3673"/>
    <n v="13"/>
    <n v="2015"/>
    <s v="Non Fiction"/>
    <m/>
  </r>
  <r>
    <x v="151"/>
    <s v="Jill Twiss"/>
    <n v="4.9000000000000004"/>
    <n v="11881"/>
    <n v="13"/>
    <n v="2018"/>
    <s v="Fiction"/>
    <m/>
  </r>
  <r>
    <x v="152"/>
    <s v="Rob Elliott"/>
    <n v="4.5999999999999996"/>
    <n v="6990"/>
    <n v="13"/>
    <n v="2013"/>
    <s v="Non Fiction"/>
    <m/>
  </r>
  <r>
    <x v="152"/>
    <s v="Rob Elliott"/>
    <n v="4.5999999999999996"/>
    <n v="6990"/>
    <n v="13"/>
    <n v="2014"/>
    <s v="Non Fiction"/>
    <m/>
  </r>
  <r>
    <x v="152"/>
    <s v="Rob Elliott"/>
    <n v="4.5999999999999996"/>
    <n v="6990"/>
    <n v="13"/>
    <n v="2015"/>
    <s v="Non Fiction"/>
    <m/>
  </r>
  <r>
    <x v="152"/>
    <s v="Rob Elliott"/>
    <n v="4.5999999999999996"/>
    <n v="6990"/>
    <n v="13"/>
    <n v="2016"/>
    <s v="Non Fiction"/>
    <m/>
  </r>
  <r>
    <x v="152"/>
    <s v="Rob Elliott"/>
    <n v="4.5999999999999996"/>
    <n v="6990"/>
    <n v="13"/>
    <n v="2017"/>
    <s v="Non Fiction"/>
    <m/>
  </r>
  <r>
    <x v="153"/>
    <s v="Sheryl Sandberg"/>
    <n v="4.5"/>
    <n v="6132"/>
    <n v="13"/>
    <n v="2013"/>
    <s v="Non Fiction"/>
    <m/>
  </r>
  <r>
    <x v="154"/>
    <s v="Walter Isaacson"/>
    <n v="4.5"/>
    <n v="3014"/>
    <n v="13"/>
    <n v="2017"/>
    <s v="Non Fiction"/>
    <m/>
  </r>
  <r>
    <x v="155"/>
    <s v="Paper Peony Press"/>
    <n v="4.4000000000000004"/>
    <n v="7550"/>
    <n v="13"/>
    <n v="2018"/>
    <s v="Non Fiction"/>
    <m/>
  </r>
  <r>
    <x v="156"/>
    <s v="Mark R. Levin"/>
    <n v="4.8"/>
    <n v="3828"/>
    <n v="13"/>
    <n v="2009"/>
    <s v="Non Fiction"/>
    <m/>
  </r>
  <r>
    <x v="157"/>
    <s v="Keith Richards"/>
    <n v="4.5"/>
    <n v="2752"/>
    <n v="13"/>
    <n v="2010"/>
    <s v="Non Fiction"/>
    <m/>
  </r>
  <r>
    <x v="158"/>
    <s v="Chris Cleave"/>
    <n v="4.0999999999999996"/>
    <n v="1467"/>
    <n v="13"/>
    <n v="2010"/>
    <s v="Fiction"/>
    <m/>
  </r>
  <r>
    <x v="159"/>
    <s v="Alice Schertle"/>
    <n v="4.9000000000000004"/>
    <n v="1884"/>
    <n v="13"/>
    <n v="2014"/>
    <s v="Fiction"/>
    <m/>
  </r>
  <r>
    <x v="160"/>
    <s v="Celeste Ng"/>
    <n v="4.5"/>
    <n v="25706"/>
    <n v="13"/>
    <n v="2018"/>
    <s v="Fiction"/>
    <m/>
  </r>
  <r>
    <x v="161"/>
    <s v="John Green"/>
    <n v="4.5"/>
    <n v="8491"/>
    <n v="13"/>
    <n v="2014"/>
    <s v="Fiction"/>
    <m/>
  </r>
  <r>
    <x v="162"/>
    <s v="Rob Bell"/>
    <n v="4.2"/>
    <n v="1649"/>
    <n v="12"/>
    <n v="2011"/>
    <s v="Non Fiction"/>
    <m/>
  </r>
  <r>
    <x v="163"/>
    <s v="Robert Munsch"/>
    <n v="4.8"/>
    <n v="18613"/>
    <n v="12"/>
    <n v="2014"/>
    <s v="Fiction"/>
    <m/>
  </r>
  <r>
    <x v="163"/>
    <s v="Robert Munsch"/>
    <n v="4.8"/>
    <n v="18613"/>
    <n v="12"/>
    <n v="2015"/>
    <s v="Fiction"/>
    <m/>
  </r>
  <r>
    <x v="164"/>
    <s v="Joanna Gaines"/>
    <n v="4.8"/>
    <n v="9867"/>
    <n v="12"/>
    <n v="2018"/>
    <s v="Non Fiction"/>
    <m/>
  </r>
  <r>
    <x v="165"/>
    <s v="Ina Garten"/>
    <n v="4.5"/>
    <n v="1386"/>
    <n v="12"/>
    <n v="2014"/>
    <s v="Non Fiction"/>
    <m/>
  </r>
  <r>
    <x v="166"/>
    <s v="Admiral William H. McRaven"/>
    <n v="4.7"/>
    <n v="10199"/>
    <n v="12"/>
    <n v="2017"/>
    <s v="Non Fiction"/>
    <m/>
  </r>
  <r>
    <x v="167"/>
    <s v="Julia Child"/>
    <n v="4.8"/>
    <n v="2926"/>
    <n v="12"/>
    <n v="2009"/>
    <s v="Non Fiction"/>
    <m/>
  </r>
  <r>
    <x v="168"/>
    <s v="Rupi Kaur"/>
    <n v="4.7"/>
    <n v="17739"/>
    <n v="12"/>
    <n v="2016"/>
    <s v="Non Fiction"/>
    <m/>
  </r>
  <r>
    <x v="168"/>
    <s v="Rupi Kaur"/>
    <n v="4.7"/>
    <n v="17739"/>
    <n v="12"/>
    <n v="2017"/>
    <s v="Non Fiction"/>
    <m/>
  </r>
  <r>
    <x v="168"/>
    <s v="Rupi Kaur"/>
    <n v="4.7"/>
    <n v="17739"/>
    <n v="12"/>
    <n v="2018"/>
    <s v="Non Fiction"/>
    <m/>
  </r>
  <r>
    <x v="169"/>
    <s v="Adam Gasiewski"/>
    <n v="4.4000000000000004"/>
    <n v="3113"/>
    <n v="12"/>
    <n v="2017"/>
    <s v="Non Fiction"/>
    <m/>
  </r>
  <r>
    <x v="170"/>
    <s v="Carol S. Dweck"/>
    <n v="4.5999999999999996"/>
    <n v="5542"/>
    <n v="12"/>
    <n v="2014"/>
    <s v="Non Fiction"/>
    <m/>
  </r>
  <r>
    <x v="170"/>
    <s v="Carol S. Dweck"/>
    <n v="4.5999999999999996"/>
    <n v="5542"/>
    <n v="12"/>
    <n v="2015"/>
    <s v="Non Fiction"/>
    <m/>
  </r>
  <r>
    <x v="170"/>
    <s v="Carol S. Dweck"/>
    <n v="4.5999999999999996"/>
    <n v="5542"/>
    <n v="12"/>
    <n v="2016"/>
    <s v="Non Fiction"/>
    <m/>
  </r>
  <r>
    <x v="171"/>
    <s v="Suzanne Collins"/>
    <n v="4.5"/>
    <n v="26741"/>
    <n v="12"/>
    <n v="2010"/>
    <s v="Fiction"/>
    <m/>
  </r>
  <r>
    <x v="171"/>
    <s v="Suzanne Collins"/>
    <n v="4.5"/>
    <n v="26741"/>
    <n v="12"/>
    <n v="2011"/>
    <s v="Fiction"/>
    <m/>
  </r>
  <r>
    <x v="171"/>
    <s v="Suzanne Collins"/>
    <n v="4.5"/>
    <n v="26741"/>
    <n v="12"/>
    <n v="2012"/>
    <s v="Fiction"/>
    <m/>
  </r>
  <r>
    <x v="172"/>
    <s v="Crispin Boyer"/>
    <n v="4.8"/>
    <n v="5347"/>
    <n v="12"/>
    <n v="2019"/>
    <s v="Non Fiction"/>
    <m/>
  </r>
  <r>
    <x v="173"/>
    <s v="Amy Shields"/>
    <n v="4.8"/>
    <n v="7866"/>
    <n v="12"/>
    <n v="2019"/>
    <s v="Non Fiction"/>
    <m/>
  </r>
  <r>
    <x v="174"/>
    <s v="Stephenie Meyer"/>
    <n v="4.5999999999999996"/>
    <n v="5680"/>
    <n v="12"/>
    <n v="2009"/>
    <s v="Fiction"/>
    <m/>
  </r>
  <r>
    <x v="175"/>
    <s v="Elie Wiesel"/>
    <n v="4.7"/>
    <n v="5178"/>
    <n v="12"/>
    <n v="2016"/>
    <s v="Non Fiction"/>
    <m/>
  </r>
  <r>
    <x v="176"/>
    <s v="Mark Owen"/>
    <n v="4.5999999999999996"/>
    <n v="8093"/>
    <n v="12"/>
    <n v="2012"/>
    <s v="Non Fiction"/>
    <m/>
  </r>
  <r>
    <x v="177"/>
    <s v="Pete Souza"/>
    <n v="4.9000000000000004"/>
    <n v="3192"/>
    <n v="12"/>
    <n v="2017"/>
    <s v="Non Fiction"/>
    <m/>
  </r>
  <r>
    <x v="178"/>
    <s v="Dr. Seuss"/>
    <n v="4.9000000000000004"/>
    <n v="21834"/>
    <n v="12"/>
    <n v="2012"/>
    <s v="Fiction"/>
    <m/>
  </r>
  <r>
    <x v="178"/>
    <s v="Dr. Seuss"/>
    <n v="4.9000000000000004"/>
    <n v="21834"/>
    <n v="12"/>
    <n v="2013"/>
    <s v="Fiction"/>
    <m/>
  </r>
  <r>
    <x v="178"/>
    <s v="Dr. Seuss"/>
    <n v="4.9000000000000004"/>
    <n v="21834"/>
    <n v="12"/>
    <n v="2014"/>
    <s v="Fiction"/>
    <m/>
  </r>
  <r>
    <x v="178"/>
    <s v="Dr. Seuss"/>
    <n v="4.9000000000000004"/>
    <n v="21834"/>
    <n v="12"/>
    <n v="2015"/>
    <s v="Fiction"/>
    <m/>
  </r>
  <r>
    <x v="178"/>
    <s v="Dr. Seuss"/>
    <n v="4.9000000000000004"/>
    <n v="21834"/>
    <n v="11"/>
    <n v="2016"/>
    <s v="Fiction"/>
    <m/>
  </r>
  <r>
    <x v="178"/>
    <s v="Dr. Seuss"/>
    <n v="4.9000000000000004"/>
    <n v="21834"/>
    <n v="11"/>
    <n v="2017"/>
    <s v="Fiction"/>
    <m/>
  </r>
  <r>
    <x v="178"/>
    <s v="Dr. Seuss"/>
    <n v="4.9000000000000004"/>
    <n v="21834"/>
    <n v="11"/>
    <n v="2018"/>
    <s v="Fiction"/>
    <m/>
  </r>
  <r>
    <x v="178"/>
    <s v="Dr. Seuss"/>
    <n v="4.9000000000000004"/>
    <n v="21834"/>
    <n v="11"/>
    <n v="2019"/>
    <s v="Fiction"/>
    <m/>
  </r>
  <r>
    <x v="179"/>
    <s v="Jeff Kinney"/>
    <n v="4.8"/>
    <n v="6169"/>
    <n v="11"/>
    <n v="2015"/>
    <s v="Fiction"/>
    <m/>
  </r>
  <r>
    <x v="180"/>
    <s v="Elizabeth Strout"/>
    <n v="4.2"/>
    <n v="4519"/>
    <n v="11"/>
    <n v="2009"/>
    <s v="Fiction"/>
    <m/>
  </r>
  <r>
    <x v="181"/>
    <s v="Ann Voskamp"/>
    <n v="4.5999999999999996"/>
    <n v="3163"/>
    <n v="11"/>
    <n v="2011"/>
    <s v="Non Fiction"/>
    <m/>
  </r>
  <r>
    <x v="181"/>
    <s v="Ann Voskamp"/>
    <n v="4.5999999999999996"/>
    <n v="3163"/>
    <n v="11"/>
    <n v="2012"/>
    <s v="Non Fiction"/>
    <m/>
  </r>
  <r>
    <x v="182"/>
    <s v="Sheryl Sandberg"/>
    <n v="4.5"/>
    <n v="1831"/>
    <n v="11"/>
    <n v="2017"/>
    <s v="Non Fiction"/>
    <m/>
  </r>
  <r>
    <x v="183"/>
    <s v="Dan Brown"/>
    <n v="4.3"/>
    <n v="18904"/>
    <n v="11"/>
    <n v="2017"/>
    <s v="Fiction"/>
    <m/>
  </r>
  <r>
    <x v="184"/>
    <s v="Christina Baker Kline"/>
    <n v="4.5999999999999996"/>
    <n v="21930"/>
    <n v="11"/>
    <n v="2014"/>
    <s v="Fiction"/>
    <m/>
  </r>
  <r>
    <x v="185"/>
    <s v="Malcolm Gladwell"/>
    <n v="4.5999999999999996"/>
    <n v="10426"/>
    <n v="11"/>
    <n v="2009"/>
    <s v="Non Fiction"/>
    <m/>
  </r>
  <r>
    <x v="185"/>
    <s v="Malcolm Gladwell"/>
    <n v="4.5999999999999996"/>
    <n v="10426"/>
    <n v="11"/>
    <n v="2010"/>
    <s v="Non Fiction"/>
    <m/>
  </r>
  <r>
    <x v="186"/>
    <s v="Naomi Kleinberg"/>
    <n v="4.7"/>
    <n v="10820"/>
    <n v="11"/>
    <n v="2018"/>
    <s v="Non Fiction"/>
    <m/>
  </r>
  <r>
    <x v="186"/>
    <s v="Naomi Kleinberg"/>
    <n v="4.7"/>
    <n v="10820"/>
    <n v="11"/>
    <n v="2019"/>
    <s v="Non Fiction"/>
    <m/>
  </r>
  <r>
    <x v="187"/>
    <s v="Rick Riordan"/>
    <n v="4.8"/>
    <n v="548"/>
    <n v="11"/>
    <n v="2010"/>
    <s v="Fiction"/>
    <m/>
  </r>
  <r>
    <x v="188"/>
    <s v="Wizards RPG Team"/>
    <n v="4.8"/>
    <n v="16990"/>
    <n v="11"/>
    <n v="2017"/>
    <s v="Fiction"/>
    <m/>
  </r>
  <r>
    <x v="188"/>
    <s v="Wizards RPG Team"/>
    <n v="4.8"/>
    <n v="16990"/>
    <n v="11"/>
    <n v="2018"/>
    <s v="Fiction"/>
    <m/>
  </r>
  <r>
    <x v="188"/>
    <s v="Wizards RPG Team"/>
    <n v="4.8"/>
    <n v="16990"/>
    <n v="11"/>
    <n v="2019"/>
    <s v="Fiction"/>
    <m/>
  </r>
  <r>
    <x v="189"/>
    <s v="Scholastic"/>
    <n v="4.7"/>
    <n v="3503"/>
    <n v="11"/>
    <n v="2016"/>
    <s v="Fiction"/>
    <m/>
  </r>
  <r>
    <x v="190"/>
    <s v="Eben Alexander"/>
    <n v="4.3"/>
    <n v="13616"/>
    <n v="11"/>
    <n v="2012"/>
    <s v="Non Fiction"/>
    <m/>
  </r>
  <r>
    <x v="190"/>
    <s v="Eben Alexander"/>
    <n v="4.3"/>
    <n v="13616"/>
    <n v="11"/>
    <n v="2013"/>
    <s v="Non Fiction"/>
    <m/>
  </r>
  <r>
    <x v="191"/>
    <s v="American Psychological Association"/>
    <n v="4.5"/>
    <n v="8580"/>
    <n v="11"/>
    <n v="2009"/>
    <s v="Non Fiction"/>
    <m/>
  </r>
  <r>
    <x v="191"/>
    <s v="American Psychological Association"/>
    <n v="4.5"/>
    <n v="8580"/>
    <n v="11"/>
    <n v="2010"/>
    <s v="Non Fiction"/>
    <m/>
  </r>
  <r>
    <x v="191"/>
    <s v="American Psychological Association"/>
    <n v="4.5"/>
    <n v="8580"/>
    <n v="11"/>
    <n v="2011"/>
    <s v="Non Fiction"/>
    <m/>
  </r>
  <r>
    <x v="191"/>
    <s v="American Psychological Association"/>
    <n v="4.5"/>
    <n v="8580"/>
    <n v="11"/>
    <n v="2012"/>
    <s v="Non Fiction"/>
    <m/>
  </r>
  <r>
    <x v="191"/>
    <s v="American Psychological Association"/>
    <n v="4.5"/>
    <n v="8580"/>
    <n v="11"/>
    <n v="2013"/>
    <s v="Non Fiction"/>
    <m/>
  </r>
  <r>
    <x v="191"/>
    <s v="American Psychological Association"/>
    <n v="4.5"/>
    <n v="8580"/>
    <n v="11"/>
    <n v="2014"/>
    <s v="Non Fiction"/>
    <m/>
  </r>
  <r>
    <x v="191"/>
    <s v="American Psychological Association"/>
    <n v="4.5"/>
    <n v="8580"/>
    <n v="11"/>
    <n v="2015"/>
    <s v="Non Fiction"/>
    <m/>
  </r>
  <r>
    <x v="191"/>
    <s v="American Psychological Association"/>
    <n v="4.5"/>
    <n v="8580"/>
    <n v="11"/>
    <n v="2016"/>
    <s v="Non Fiction"/>
    <m/>
  </r>
  <r>
    <x v="191"/>
    <s v="American Psychological Association"/>
    <n v="4.5"/>
    <n v="8580"/>
    <n v="11"/>
    <n v="2017"/>
    <s v="Non Fiction"/>
    <m/>
  </r>
  <r>
    <x v="191"/>
    <s v="American Psychological Association"/>
    <n v="4.5"/>
    <n v="8580"/>
    <n v="11"/>
    <n v="2018"/>
    <s v="Non Fiction"/>
    <m/>
  </r>
  <r>
    <x v="192"/>
    <s v="Golden Books"/>
    <n v="4.8"/>
    <n v="4757"/>
    <n v="11"/>
    <n v="2017"/>
    <s v="Fiction"/>
    <m/>
  </r>
  <r>
    <x v="193"/>
    <s v="Susan Cain"/>
    <n v="4.5999999999999996"/>
    <n v="10009"/>
    <n v="11"/>
    <n v="2012"/>
    <s v="Non Fiction"/>
    <m/>
  </r>
  <r>
    <x v="193"/>
    <s v="Susan Cain"/>
    <n v="4.5999999999999996"/>
    <n v="10009"/>
    <n v="11"/>
    <n v="2013"/>
    <s v="Non Fiction"/>
    <m/>
  </r>
  <r>
    <x v="194"/>
    <s v="David Platt"/>
    <n v="4.7"/>
    <n v="1985"/>
    <n v="10"/>
    <n v="2010"/>
    <s v="Non Fiction"/>
    <m/>
  </r>
  <r>
    <x v="194"/>
    <s v="David Platt"/>
    <n v="4.7"/>
    <n v="1985"/>
    <n v="10"/>
    <n v="2011"/>
    <s v="Non Fiction"/>
    <m/>
  </r>
  <r>
    <x v="195"/>
    <s v="Ernest Cline"/>
    <n v="4.5999999999999996"/>
    <n v="22536"/>
    <n v="10"/>
    <n v="2017"/>
    <s v="Fiction"/>
    <m/>
  </r>
  <r>
    <x v="195"/>
    <s v="Ernest Cline"/>
    <n v="4.5999999999999996"/>
    <n v="22536"/>
    <n v="10"/>
    <n v="2018"/>
    <s v="Fiction"/>
    <m/>
  </r>
  <r>
    <x v="196"/>
    <s v="Rush Limbaugh"/>
    <n v="4.9000000000000004"/>
    <n v="7150"/>
    <n v="10"/>
    <n v="2013"/>
    <s v="Fiction"/>
    <m/>
  </r>
  <r>
    <x v="197"/>
    <s v="Rush Limbaugh"/>
    <n v="4.9000000000000004"/>
    <n v="3836"/>
    <n v="10"/>
    <n v="2014"/>
    <s v="Fiction"/>
    <m/>
  </r>
  <r>
    <x v="198"/>
    <s v="Samin Nosrat"/>
    <n v="4.8"/>
    <n v="7802"/>
    <n v="10"/>
    <n v="2018"/>
    <s v="Non Fiction"/>
    <m/>
  </r>
  <r>
    <x v="198"/>
    <s v="Samin Nosrat"/>
    <n v="4.8"/>
    <n v="7802"/>
    <n v="10"/>
    <n v="2019"/>
    <s v="Non Fiction"/>
    <m/>
  </r>
  <r>
    <x v="199"/>
    <s v="Tatiana de Rosnay"/>
    <n v="4.5999999999999996"/>
    <n v="3619"/>
    <n v="10"/>
    <n v="2010"/>
    <s v="Fiction"/>
    <m/>
  </r>
  <r>
    <x v="200"/>
    <s v="School Zone"/>
    <n v="4.8"/>
    <n v="23047"/>
    <n v="10"/>
    <n v="2018"/>
    <s v="Non Fiction"/>
    <m/>
  </r>
  <r>
    <x v="200"/>
    <s v="School Zone"/>
    <n v="4.8"/>
    <n v="23047"/>
    <n v="10"/>
    <n v="2019"/>
    <s v="Non Fiction"/>
    <m/>
  </r>
  <r>
    <x v="201"/>
    <s v="Johanna Basford"/>
    <n v="4.7"/>
    <n v="9366"/>
    <n v="10"/>
    <n v="2015"/>
    <s v="Non Fiction"/>
    <m/>
  </r>
  <r>
    <x v="202"/>
    <s v="Justin Halpern"/>
    <n v="4.7"/>
    <n v="1265"/>
    <n v="10"/>
    <n v="2010"/>
    <s v="Non Fiction"/>
    <m/>
  </r>
  <r>
    <x v="203"/>
    <s v="Tucker Carlson"/>
    <n v="4.8"/>
    <n v="3923"/>
    <n v="10"/>
    <n v="2018"/>
    <s v="Non Fiction"/>
    <m/>
  </r>
  <r>
    <x v="204"/>
    <s v="Ian K. Smith M.D."/>
    <n v="4.0999999999999996"/>
    <n v="2272"/>
    <n v="10"/>
    <n v="2013"/>
    <s v="Non Fiction"/>
    <m/>
  </r>
  <r>
    <x v="205"/>
    <s v="Charlaine Harris"/>
    <n v="4.7"/>
    <n v="973"/>
    <n v="10"/>
    <n v="2009"/>
    <s v="Fiction"/>
    <m/>
  </r>
  <r>
    <x v="206"/>
    <s v="Zhi Gang Sha"/>
    <n v="4.5999999999999996"/>
    <n v="220"/>
    <n v="10"/>
    <n v="2013"/>
    <s v="Non Fiction"/>
    <m/>
  </r>
  <r>
    <x v="207"/>
    <s v="Walter Isaacson"/>
    <n v="4.5999999999999996"/>
    <n v="7827"/>
    <n v="10"/>
    <n v="2011"/>
    <s v="Non Fiction"/>
    <m/>
  </r>
  <r>
    <x v="207"/>
    <s v="Walter Isaacson"/>
    <n v="4.5999999999999996"/>
    <n v="7827"/>
    <n v="10"/>
    <n v="2012"/>
    <s v="Non Fiction"/>
    <m/>
  </r>
  <r>
    <x v="208"/>
    <s v="Nathan W. Pyle"/>
    <n v="4.9000000000000004"/>
    <n v="9382"/>
    <n v="10"/>
    <n v="2019"/>
    <s v="Fiction"/>
    <m/>
  </r>
  <r>
    <x v="209"/>
    <s v="Gallup"/>
    <n v="4"/>
    <n v="5069"/>
    <n v="10"/>
    <n v="2009"/>
    <s v="Non Fiction"/>
    <m/>
  </r>
  <r>
    <x v="209"/>
    <s v="Gallup"/>
    <n v="4"/>
    <n v="5069"/>
    <n v="10"/>
    <n v="2010"/>
    <s v="Non Fiction"/>
    <m/>
  </r>
  <r>
    <x v="209"/>
    <s v="Gallup"/>
    <n v="4"/>
    <n v="5069"/>
    <n v="10"/>
    <n v="2011"/>
    <s v="Non Fiction"/>
    <m/>
  </r>
  <r>
    <x v="209"/>
    <s v="Gallup"/>
    <n v="4"/>
    <n v="5069"/>
    <n v="10"/>
    <n v="2012"/>
    <s v="Non Fiction"/>
    <m/>
  </r>
  <r>
    <x v="209"/>
    <s v="Gallup"/>
    <n v="4"/>
    <n v="5069"/>
    <n v="10"/>
    <n v="2013"/>
    <s v="Non Fiction"/>
    <m/>
  </r>
  <r>
    <x v="209"/>
    <s v="Gallup"/>
    <n v="4"/>
    <n v="5069"/>
    <n v="10"/>
    <n v="2014"/>
    <s v="Non Fiction"/>
    <m/>
  </r>
  <r>
    <x v="209"/>
    <s v="Gallup"/>
    <n v="4"/>
    <n v="5069"/>
    <n v="10"/>
    <n v="2015"/>
    <s v="Non Fiction"/>
    <m/>
  </r>
  <r>
    <x v="209"/>
    <s v="Gallup"/>
    <n v="4"/>
    <n v="5069"/>
    <n v="10"/>
    <n v="2016"/>
    <s v="Non Fiction"/>
    <m/>
  </r>
  <r>
    <x v="209"/>
    <s v="Gallup"/>
    <n v="4"/>
    <n v="5069"/>
    <n v="9"/>
    <n v="2017"/>
    <s v="Non Fiction"/>
    <m/>
  </r>
  <r>
    <x v="210"/>
    <s v="Steven D. Levitt"/>
    <n v="4.5"/>
    <n v="1583"/>
    <n v="9"/>
    <n v="2009"/>
    <s v="Non Fiction"/>
    <m/>
  </r>
  <r>
    <x v="211"/>
    <s v="Chip Heath"/>
    <n v="4.5999999999999996"/>
    <n v="1907"/>
    <n v="9"/>
    <n v="2010"/>
    <s v="Non Fiction"/>
    <m/>
  </r>
  <r>
    <x v="212"/>
    <s v="John Grisham"/>
    <n v="4.5"/>
    <n v="23114"/>
    <n v="9"/>
    <n v="2013"/>
    <s v="Fiction"/>
    <m/>
  </r>
  <r>
    <x v="213"/>
    <s v="Doug Lemov"/>
    <n v="4.4000000000000004"/>
    <n v="637"/>
    <n v="9"/>
    <n v="2010"/>
    <s v="Non Fiction"/>
    <m/>
  </r>
  <r>
    <x v="213"/>
    <s v="Doug Lemov"/>
    <n v="4.4000000000000004"/>
    <n v="637"/>
    <n v="9"/>
    <n v="2011"/>
    <s v="Non Fiction"/>
    <m/>
  </r>
  <r>
    <x v="214"/>
    <s v="Mike Moreno"/>
    <n v="4.3"/>
    <n v="2314"/>
    <n v="9"/>
    <n v="2011"/>
    <s v="Non Fiction"/>
    <m/>
  </r>
  <r>
    <x v="215"/>
    <s v="Timothy Ferriss"/>
    <n v="4.3"/>
    <n v="4587"/>
    <n v="9"/>
    <n v="2011"/>
    <s v="Non Fiction"/>
    <m/>
  </r>
  <r>
    <x v="216"/>
    <s v="Gary Chapman"/>
    <n v="4.7"/>
    <n v="3477"/>
    <n v="9"/>
    <n v="2010"/>
    <s v="Non Fiction"/>
    <m/>
  </r>
  <r>
    <x v="216"/>
    <s v="Gary Chapman"/>
    <n v="4.7"/>
    <n v="3477"/>
    <n v="9"/>
    <n v="2011"/>
    <s v="Non Fiction"/>
    <m/>
  </r>
  <r>
    <x v="216"/>
    <s v="Gary Chapman"/>
    <n v="4.7"/>
    <n v="3477"/>
    <n v="9"/>
    <n v="2012"/>
    <s v="Non Fiction"/>
    <m/>
  </r>
  <r>
    <x v="216"/>
    <s v="Gary Chapman"/>
    <n v="4.7"/>
    <n v="3477"/>
    <n v="9"/>
    <n v="2013"/>
    <s v="Non Fiction"/>
    <m/>
  </r>
  <r>
    <x v="216"/>
    <s v="Gary Chapman"/>
    <n v="4.7"/>
    <n v="3477"/>
    <n v="9"/>
    <n v="2014"/>
    <s v="Non Fiction"/>
    <m/>
  </r>
  <r>
    <x v="216"/>
    <s v="Gary Chapman"/>
    <n v="4.8"/>
    <n v="25554"/>
    <n v="9"/>
    <n v="2015"/>
    <s v="Non Fiction"/>
    <m/>
  </r>
  <r>
    <x v="216"/>
    <s v="Gary Chapman"/>
    <n v="4.8"/>
    <n v="25554"/>
    <n v="9"/>
    <n v="2016"/>
    <s v="Non Fiction"/>
    <m/>
  </r>
  <r>
    <x v="216"/>
    <s v="Gary Chapman"/>
    <n v="4.8"/>
    <n v="25554"/>
    <n v="9"/>
    <n v="2017"/>
    <s v="Non Fiction"/>
    <m/>
  </r>
  <r>
    <x v="216"/>
    <s v="Gary Chapman"/>
    <n v="4.8"/>
    <n v="25554"/>
    <n v="9"/>
    <n v="2018"/>
    <s v="Non Fiction"/>
    <m/>
  </r>
  <r>
    <x v="216"/>
    <s v="Gary Chapman"/>
    <n v="4.8"/>
    <n v="25554"/>
    <n v="9"/>
    <n v="2019"/>
    <s v="Non Fiction"/>
    <m/>
  </r>
  <r>
    <x v="217"/>
    <s v="W. Cleon Skousen"/>
    <n v="4.8"/>
    <n v="1680"/>
    <n v="9"/>
    <n v="2009"/>
    <s v="Non Fiction"/>
    <m/>
  </r>
  <r>
    <x v="218"/>
    <s v="Stephen R. Covey"/>
    <n v="4.5999999999999996"/>
    <n v="9325"/>
    <n v="9"/>
    <n v="2009"/>
    <s v="Non Fiction"/>
    <m/>
  </r>
  <r>
    <x v="218"/>
    <s v="Stephen R. Covey"/>
    <n v="4.5999999999999996"/>
    <n v="9325"/>
    <n v="9"/>
    <n v="2011"/>
    <s v="Non Fiction"/>
    <m/>
  </r>
  <r>
    <x v="218"/>
    <s v="Stephen R. Covey"/>
    <n v="4.5999999999999996"/>
    <n v="9325"/>
    <n v="9"/>
    <n v="2012"/>
    <s v="Non Fiction"/>
    <m/>
  </r>
  <r>
    <x v="218"/>
    <s v="Stephen R. Covey"/>
    <n v="4.5999999999999996"/>
    <n v="9325"/>
    <n v="9"/>
    <n v="2013"/>
    <s v="Non Fiction"/>
    <m/>
  </r>
  <r>
    <x v="218"/>
    <s v="Stephen R. Covey"/>
    <n v="4.7"/>
    <n v="4725"/>
    <n v="9"/>
    <n v="2015"/>
    <s v="Non Fiction"/>
    <m/>
  </r>
  <r>
    <x v="218"/>
    <s v="Stephen R. Covey"/>
    <n v="4.7"/>
    <n v="4725"/>
    <n v="9"/>
    <n v="2016"/>
    <s v="Non Fiction"/>
    <m/>
  </r>
  <r>
    <x v="218"/>
    <s v="Stephen R. Covey"/>
    <n v="4.7"/>
    <n v="4725"/>
    <n v="9"/>
    <n v="2017"/>
    <s v="Non Fiction"/>
    <m/>
  </r>
  <r>
    <x v="219"/>
    <s v="Paulo Coelho"/>
    <n v="4.7"/>
    <n v="35799"/>
    <n v="9"/>
    <n v="2014"/>
    <s v="Fiction"/>
    <m/>
  </r>
  <r>
    <x v="220"/>
    <s v="Edward Klein"/>
    <n v="4.5999999999999996"/>
    <n v="2580"/>
    <n v="9"/>
    <n v="2012"/>
    <s v="Non Fiction"/>
    <m/>
  </r>
  <r>
    <x v="221"/>
    <s v="Garth Stein"/>
    <n v="4.7"/>
    <n v="11813"/>
    <n v="9"/>
    <n v="2010"/>
    <s v="Fiction"/>
    <m/>
  </r>
  <r>
    <x v="221"/>
    <s v="Garth Stein"/>
    <n v="4.7"/>
    <n v="11813"/>
    <n v="9"/>
    <n v="2011"/>
    <s v="Fiction"/>
    <m/>
  </r>
  <r>
    <x v="222"/>
    <s v="Michael Lewis"/>
    <n v="4.7"/>
    <n v="3536"/>
    <n v="9"/>
    <n v="2010"/>
    <s v="Non Fiction"/>
    <m/>
  </r>
  <r>
    <x v="223"/>
    <s v="Rick Riordan"/>
    <n v="4.8"/>
    <n v="6600"/>
    <n v="9"/>
    <n v="2014"/>
    <s v="Fiction"/>
    <m/>
  </r>
  <r>
    <x v="224"/>
    <s v="Mark Hyman M.D."/>
    <n v="4.2"/>
    <n v="1789"/>
    <n v="9"/>
    <n v="2012"/>
    <s v="Non Fiction"/>
    <m/>
  </r>
  <r>
    <x v="225"/>
    <s v="Bessel van der Kolk M.D."/>
    <n v="4.8"/>
    <n v="12361"/>
    <n v="9"/>
    <n v="2019"/>
    <s v="Non Fiction"/>
    <m/>
  </r>
  <r>
    <x v="226"/>
    <s v="Bill Simmons"/>
    <n v="4.7"/>
    <n v="858"/>
    <n v="9"/>
    <n v="2009"/>
    <s v="Non Fiction"/>
    <m/>
  </r>
  <r>
    <x v="227"/>
    <s v="Markus Zusak"/>
    <n v="4.5999999999999996"/>
    <n v="23148"/>
    <n v="9"/>
    <n v="2013"/>
    <s v="Fiction"/>
    <m/>
  </r>
  <r>
    <x v="227"/>
    <s v="Markus Zusak"/>
    <n v="4.5999999999999996"/>
    <n v="23148"/>
    <n v="9"/>
    <n v="2014"/>
    <s v="Fiction"/>
    <m/>
  </r>
  <r>
    <x v="228"/>
    <s v="B. J. Novak"/>
    <n v="4.8"/>
    <n v="8081"/>
    <n v="9"/>
    <n v="2014"/>
    <s v="Fiction"/>
    <m/>
  </r>
  <r>
    <x v="228"/>
    <s v="B. J. Novak"/>
    <n v="4.8"/>
    <n v="8081"/>
    <n v="8"/>
    <n v="2015"/>
    <s v="Fiction"/>
    <m/>
  </r>
  <r>
    <x v="229"/>
    <s v="Daniel James Brown"/>
    <n v="4.8"/>
    <n v="23358"/>
    <n v="8"/>
    <n v="2014"/>
    <s v="Non Fiction"/>
    <m/>
  </r>
  <r>
    <x v="229"/>
    <s v="Daniel James Brown"/>
    <n v="4.8"/>
    <n v="23358"/>
    <n v="8"/>
    <n v="2015"/>
    <s v="Non Fiction"/>
    <m/>
  </r>
  <r>
    <x v="230"/>
    <s v="J.K. Rowling"/>
    <n v="3.3"/>
    <n v="9372"/>
    <n v="8"/>
    <n v="2012"/>
    <s v="Fiction"/>
    <m/>
  </r>
  <r>
    <x v="231"/>
    <s v="Thomas Campbell"/>
    <n v="4.7"/>
    <n v="4633"/>
    <n v="8"/>
    <n v="2011"/>
    <s v="Non Fiction"/>
    <m/>
  </r>
  <r>
    <x v="232"/>
    <s v="Amy Ramos"/>
    <n v="4.3"/>
    <n v="13061"/>
    <n v="8"/>
    <n v="2018"/>
    <s v="Non Fiction"/>
    <m/>
  </r>
  <r>
    <x v="232"/>
    <s v="Amy Ramos"/>
    <n v="4.3"/>
    <n v="13061"/>
    <n v="8"/>
    <n v="2019"/>
    <s v="Non Fiction"/>
    <m/>
  </r>
  <r>
    <x v="233"/>
    <s v="John Grisham"/>
    <n v="4.3"/>
    <n v="3523"/>
    <n v="8"/>
    <n v="2010"/>
    <s v="Fiction"/>
    <m/>
  </r>
  <r>
    <x v="234"/>
    <s v="Delegates of the Constitutional"/>
    <n v="4.8"/>
    <n v="2774"/>
    <n v="8"/>
    <n v="2016"/>
    <s v="Non Fiction"/>
    <m/>
  </r>
  <r>
    <x v="235"/>
    <s v="Jon Stewart"/>
    <n v="4.4000000000000004"/>
    <n v="440"/>
    <n v="8"/>
    <n v="2010"/>
    <s v="Non Fiction"/>
    <m/>
  </r>
  <r>
    <x v="236"/>
    <s v="Drew Daywalt"/>
    <n v="4.8"/>
    <n v="8922"/>
    <n v="8"/>
    <n v="2013"/>
    <s v="Fiction"/>
    <m/>
  </r>
  <r>
    <x v="236"/>
    <s v="Drew Daywalt"/>
    <n v="4.8"/>
    <n v="8922"/>
    <n v="8"/>
    <n v="2014"/>
    <s v="Fiction"/>
    <m/>
  </r>
  <r>
    <x v="236"/>
    <s v="Drew Daywalt"/>
    <n v="4.8"/>
    <n v="8922"/>
    <n v="8"/>
    <n v="2015"/>
    <s v="Fiction"/>
    <m/>
  </r>
  <r>
    <x v="237"/>
    <s v="Pierre Dukan"/>
    <n v="4.0999999999999996"/>
    <n v="2023"/>
    <n v="8"/>
    <n v="2011"/>
    <s v="Non Fiction"/>
    <m/>
  </r>
  <r>
    <x v="238"/>
    <s v="Muriel Barbery"/>
    <n v="4"/>
    <n v="1859"/>
    <n v="8"/>
    <n v="2009"/>
    <s v="Fiction"/>
    <m/>
  </r>
  <r>
    <x v="239"/>
    <s v="John Green"/>
    <n v="4.7"/>
    <n v="50482"/>
    <n v="8"/>
    <n v="2012"/>
    <s v="Fiction"/>
    <m/>
  </r>
  <r>
    <x v="239"/>
    <s v="John Green"/>
    <n v="4.7"/>
    <n v="50482"/>
    <n v="8"/>
    <n v="2013"/>
    <s v="Fiction"/>
    <m/>
  </r>
  <r>
    <x v="239"/>
    <s v="John Green"/>
    <n v="4.7"/>
    <n v="50482"/>
    <n v="8"/>
    <n v="2014"/>
    <s v="Fiction"/>
    <m/>
  </r>
  <r>
    <x v="239"/>
    <s v="John Green"/>
    <n v="4.7"/>
    <n v="50482"/>
    <n v="8"/>
    <n v="2014"/>
    <s v="Fiction"/>
    <m/>
  </r>
  <r>
    <x v="240"/>
    <s v="Patrick Lencioni"/>
    <n v="4.5999999999999996"/>
    <n v="3207"/>
    <n v="8"/>
    <n v="2009"/>
    <s v="Non Fiction"/>
    <m/>
  </r>
  <r>
    <x v="240"/>
    <s v="Patrick Lencioni"/>
    <n v="4.5999999999999996"/>
    <n v="3207"/>
    <n v="8"/>
    <n v="2010"/>
    <s v="Non Fiction"/>
    <m/>
  </r>
  <r>
    <x v="240"/>
    <s v="Patrick Lencioni"/>
    <n v="4.5999999999999996"/>
    <n v="3207"/>
    <n v="8"/>
    <n v="2011"/>
    <s v="Non Fiction"/>
    <m/>
  </r>
  <r>
    <x v="240"/>
    <s v="Patrick Lencioni"/>
    <n v="4.5999999999999996"/>
    <n v="3207"/>
    <n v="8"/>
    <n v="2012"/>
    <s v="Non Fiction"/>
    <m/>
  </r>
  <r>
    <x v="240"/>
    <s v="Patrick Lencioni"/>
    <n v="4.5999999999999996"/>
    <n v="3207"/>
    <n v="8"/>
    <n v="2013"/>
    <s v="Non Fiction"/>
    <m/>
  </r>
  <r>
    <x v="241"/>
    <s v="Gary Chapman"/>
    <n v="4.5999999999999996"/>
    <n v="803"/>
    <n v="8"/>
    <n v="2009"/>
    <s v="Non Fiction"/>
    <m/>
  </r>
  <r>
    <x v="242"/>
    <s v="Don Miguel Ruiz"/>
    <n v="4.7"/>
    <n v="23308"/>
    <n v="8"/>
    <n v="2013"/>
    <s v="Non Fiction"/>
    <m/>
  </r>
  <r>
    <x v="242"/>
    <s v="Don Miguel Ruiz"/>
    <n v="4.7"/>
    <n v="23308"/>
    <n v="8"/>
    <n v="2015"/>
    <s v="Non Fiction"/>
    <m/>
  </r>
  <r>
    <x v="242"/>
    <s v="Don Miguel Ruiz"/>
    <n v="4.7"/>
    <n v="23308"/>
    <n v="8"/>
    <n v="2016"/>
    <s v="Non Fiction"/>
    <m/>
  </r>
  <r>
    <x v="242"/>
    <s v="Don Miguel Ruiz"/>
    <n v="4.7"/>
    <n v="23308"/>
    <n v="8"/>
    <n v="2017"/>
    <s v="Non Fiction"/>
    <m/>
  </r>
  <r>
    <x v="242"/>
    <s v="Don Miguel Ruiz"/>
    <n v="4.7"/>
    <n v="23308"/>
    <n v="8"/>
    <n v="2018"/>
    <s v="Non Fiction"/>
    <m/>
  </r>
  <r>
    <x v="242"/>
    <s v="Don Miguel Ruiz"/>
    <n v="4.7"/>
    <n v="23308"/>
    <n v="8"/>
    <n v="2019"/>
    <s v="Non Fiction"/>
    <m/>
  </r>
  <r>
    <x v="243"/>
    <s v="Jeff Kinney"/>
    <n v="4.8"/>
    <n v="5836"/>
    <n v="8"/>
    <n v="2017"/>
    <s v="Fiction"/>
    <m/>
  </r>
  <r>
    <x v="244"/>
    <s v="Paula Hawkins"/>
    <n v="4.0999999999999996"/>
    <n v="79446"/>
    <n v="8"/>
    <n v="2015"/>
    <s v="Fiction"/>
    <m/>
  </r>
  <r>
    <x v="244"/>
    <s v="Paula Hawkins"/>
    <n v="4.0999999999999996"/>
    <n v="79446"/>
    <n v="8"/>
    <n v="2016"/>
    <s v="Fiction"/>
    <m/>
  </r>
  <r>
    <x v="245"/>
    <s v="Stieg Larsson"/>
    <n v="4.7"/>
    <n v="7747"/>
    <n v="8"/>
    <n v="2010"/>
    <s v="Fiction"/>
    <m/>
  </r>
  <r>
    <x v="245"/>
    <s v="Stieg Larsson"/>
    <n v="4.7"/>
    <n v="7747"/>
    <n v="8"/>
    <n v="2011"/>
    <s v="Fiction"/>
    <m/>
  </r>
  <r>
    <x v="246"/>
    <s v="Stieg Larsson"/>
    <n v="4.7"/>
    <n v="7251"/>
    <n v="8"/>
    <n v="2010"/>
    <s v="Fiction"/>
    <m/>
  </r>
  <r>
    <x v="247"/>
    <s v="Stieg Larsson"/>
    <n v="4.7"/>
    <n v="7251"/>
    <n v="8"/>
    <n v="2009"/>
    <s v="Fiction"/>
    <m/>
  </r>
  <r>
    <x v="248"/>
    <s v="Stieg Larsson"/>
    <n v="4.4000000000000004"/>
    <n v="10559"/>
    <n v="8"/>
    <n v="2009"/>
    <s v="Fiction"/>
    <m/>
  </r>
  <r>
    <x v="248"/>
    <s v="Stieg Larsson"/>
    <n v="4.4000000000000004"/>
    <n v="10559"/>
    <n v="8"/>
    <n v="2010"/>
    <s v="Fiction"/>
    <m/>
  </r>
  <r>
    <x v="249"/>
    <s v="Sandra Boynton"/>
    <n v="4.8"/>
    <n v="5249"/>
    <n v="8"/>
    <n v="2016"/>
    <s v="Fiction"/>
    <m/>
  </r>
  <r>
    <x v="249"/>
    <s v="Sandra Boynton"/>
    <n v="4.8"/>
    <n v="5249"/>
    <n v="8"/>
    <n v="2017"/>
    <s v="Fiction"/>
    <m/>
  </r>
  <r>
    <x v="250"/>
    <s v="Donna Tartt"/>
    <n v="3.9"/>
    <n v="33844"/>
    <n v="8"/>
    <n v="2013"/>
    <s v="Fiction"/>
    <m/>
  </r>
  <r>
    <x v="250"/>
    <s v="Donna Tartt"/>
    <n v="3.9"/>
    <n v="33844"/>
    <n v="8"/>
    <n v="2014"/>
    <s v="Fiction"/>
    <m/>
  </r>
  <r>
    <x v="251"/>
    <s v="F. Scott Fitzgerald"/>
    <n v="4.4000000000000004"/>
    <n v="11616"/>
    <n v="8"/>
    <n v="2012"/>
    <s v="Fiction"/>
    <m/>
  </r>
  <r>
    <x v="251"/>
    <s v="F. Scott Fitzgerald"/>
    <n v="4.4000000000000004"/>
    <n v="11616"/>
    <n v="8"/>
    <n v="2013"/>
    <s v="Fiction"/>
    <m/>
  </r>
  <r>
    <x v="251"/>
    <s v="F. Scott Fitzgerald"/>
    <n v="4.4000000000000004"/>
    <n v="11616"/>
    <n v="8"/>
    <n v="2014"/>
    <s v="Fiction"/>
    <m/>
  </r>
  <r>
    <x v="252"/>
    <s v="John Grisham"/>
    <n v="4.5"/>
    <n v="13609"/>
    <n v="8"/>
    <n v="2019"/>
    <s v="Fiction"/>
    <m/>
  </r>
  <r>
    <x v="253"/>
    <s v="Mary Ann Shaffer"/>
    <n v="4.7"/>
    <n v="8587"/>
    <n v="8"/>
    <n v="2009"/>
    <s v="Fiction"/>
    <m/>
  </r>
  <r>
    <x v="254"/>
    <s v="Margaret Atwood"/>
    <n v="4.3"/>
    <n v="29442"/>
    <n v="8"/>
    <n v="2017"/>
    <s v="Fiction"/>
    <m/>
  </r>
  <r>
    <x v="255"/>
    <s v="Jonathan Cahn"/>
    <n v="4.5999999999999996"/>
    <n v="11098"/>
    <n v="8"/>
    <n v="2012"/>
    <s v="Fiction"/>
    <m/>
  </r>
  <r>
    <x v="256"/>
    <s v="Angie Thomas"/>
    <n v="4.8"/>
    <n v="9947"/>
    <n v="8"/>
    <n v="2018"/>
    <s v="Fiction"/>
    <m/>
  </r>
  <r>
    <x v="257"/>
    <s v="Kathryn Stockett"/>
    <n v="4.8"/>
    <n v="13871"/>
    <n v="7"/>
    <n v="2009"/>
    <s v="Fiction"/>
    <m/>
  </r>
  <r>
    <x v="257"/>
    <s v="Kathryn Stockett"/>
    <n v="4.8"/>
    <n v="13871"/>
    <n v="7"/>
    <n v="2010"/>
    <s v="Fiction"/>
    <m/>
  </r>
  <r>
    <x v="257"/>
    <s v="Kathryn Stockett"/>
    <n v="4.8"/>
    <n v="13871"/>
    <n v="7"/>
    <n v="2011"/>
    <s v="Fiction"/>
    <m/>
  </r>
  <r>
    <x v="257"/>
    <s v="Kathryn Stockett"/>
    <n v="4.8"/>
    <n v="13871"/>
    <n v="7"/>
    <n v="2011"/>
    <s v="Fiction"/>
    <m/>
  </r>
  <r>
    <x v="258"/>
    <s v="Rick Riordan"/>
    <n v="4.8"/>
    <n v="6982"/>
    <n v="7"/>
    <n v="2013"/>
    <s v="Fiction"/>
    <m/>
  </r>
  <r>
    <x v="259"/>
    <s v="Suzanne Collins"/>
    <n v="4.7"/>
    <n v="32122"/>
    <n v="7"/>
    <n v="2010"/>
    <s v="Fiction"/>
    <m/>
  </r>
  <r>
    <x v="260"/>
    <s v="Suzanne Collins"/>
    <n v="4.7"/>
    <n v="32122"/>
    <n v="7"/>
    <n v="2011"/>
    <s v="Fiction"/>
    <m/>
  </r>
  <r>
    <x v="260"/>
    <s v="Suzanne Collins"/>
    <n v="4.7"/>
    <n v="32122"/>
    <n v="7"/>
    <n v="2012"/>
    <s v="Fiction"/>
    <m/>
  </r>
  <r>
    <x v="261"/>
    <s v="Suzanne Collins"/>
    <n v="4.8"/>
    <n v="16949"/>
    <n v="7"/>
    <n v="2011"/>
    <s v="Fiction"/>
    <m/>
  </r>
  <r>
    <x v="261"/>
    <s v="Suzanne Collins"/>
    <n v="4.8"/>
    <n v="16949"/>
    <n v="7"/>
    <n v="2012"/>
    <s v="Fiction"/>
    <m/>
  </r>
  <r>
    <x v="262"/>
    <s v="Rebecca Skloot"/>
    <n v="4.7"/>
    <n v="9289"/>
    <n v="7"/>
    <n v="2010"/>
    <s v="Non Fiction"/>
    <m/>
  </r>
  <r>
    <x v="262"/>
    <s v="Rebecca Skloot"/>
    <n v="4.7"/>
    <n v="9289"/>
    <n v="7"/>
    <n v="2011"/>
    <s v="Non Fiction"/>
    <m/>
  </r>
  <r>
    <x v="262"/>
    <s v="Rebecca Skloot"/>
    <n v="4.7"/>
    <n v="9289"/>
    <n v="7"/>
    <n v="2012"/>
    <s v="Non Fiction"/>
    <m/>
  </r>
  <r>
    <x v="263"/>
    <s v="Laurel Randolph"/>
    <n v="4.3"/>
    <n v="7368"/>
    <n v="7"/>
    <n v="2017"/>
    <s v="Non Fiction"/>
    <m/>
  </r>
  <r>
    <x v="263"/>
    <s v="Laurel Randolph"/>
    <n v="4.3"/>
    <n v="7368"/>
    <n v="7"/>
    <n v="2018"/>
    <s v="Non Fiction"/>
    <m/>
  </r>
  <r>
    <x v="264"/>
    <s v="Randy Pausch"/>
    <n v="4.7"/>
    <n v="4028"/>
    <n v="7"/>
    <n v="2009"/>
    <s v="Non Fiction"/>
    <m/>
  </r>
  <r>
    <x v="265"/>
    <s v="Rick Riordan"/>
    <n v="4.8"/>
    <n v="4628"/>
    <n v="7"/>
    <n v="2009"/>
    <s v="Fiction"/>
    <m/>
  </r>
  <r>
    <x v="265"/>
    <s v="Rick Riordan"/>
    <n v="4.8"/>
    <n v="4628"/>
    <n v="7"/>
    <n v="2010"/>
    <s v="Fiction"/>
    <m/>
  </r>
  <r>
    <x v="266"/>
    <s v="Patrick Thorpe"/>
    <n v="4.9000000000000004"/>
    <n v="5396"/>
    <n v="7"/>
    <n v="2013"/>
    <s v="Fiction"/>
    <m/>
  </r>
  <r>
    <x v="267"/>
    <s v="Daniel Lipkowitz"/>
    <n v="4.4000000000000004"/>
    <n v="4247"/>
    <n v="7"/>
    <n v="2011"/>
    <s v="Non Fiction"/>
    <m/>
  </r>
  <r>
    <x v="267"/>
    <s v="Daniel Lipkowitz"/>
    <n v="4.4000000000000004"/>
    <n v="4247"/>
    <n v="7"/>
    <n v="2012"/>
    <s v="Non Fiction"/>
    <m/>
  </r>
  <r>
    <x v="268"/>
    <s v="Marie Kondō"/>
    <n v="4.5"/>
    <n v="22641"/>
    <n v="7"/>
    <n v="2015"/>
    <s v="Non Fiction"/>
    <m/>
  </r>
  <r>
    <x v="268"/>
    <s v="Marie Kondō"/>
    <n v="4.5"/>
    <n v="22641"/>
    <n v="7"/>
    <n v="2016"/>
    <s v="Non Fiction"/>
    <m/>
  </r>
  <r>
    <x v="268"/>
    <s v="Marie Kondō"/>
    <n v="4.5"/>
    <n v="22641"/>
    <n v="6"/>
    <n v="2017"/>
    <s v="Non Fiction"/>
    <m/>
  </r>
  <r>
    <x v="268"/>
    <s v="Marie Kondō"/>
    <n v="4.5"/>
    <n v="22641"/>
    <n v="6"/>
    <n v="2019"/>
    <s v="Non Fiction"/>
    <m/>
  </r>
  <r>
    <x v="269"/>
    <s v="John Grisham"/>
    <n v="4.4000000000000004"/>
    <n v="6222"/>
    <n v="6"/>
    <n v="2011"/>
    <s v="Fiction"/>
    <m/>
  </r>
  <r>
    <x v="270"/>
    <s v="Rick Riordan"/>
    <n v="4.8"/>
    <n v="4506"/>
    <n v="6"/>
    <n v="2010"/>
    <s v="Fiction"/>
    <m/>
  </r>
  <r>
    <x v="271"/>
    <s v="Dan Brown"/>
    <n v="4.2"/>
    <n v="8747"/>
    <n v="6"/>
    <n v="2009"/>
    <s v="Fiction"/>
    <m/>
  </r>
  <r>
    <x v="272"/>
    <s v="Stephen Kendrick"/>
    <n v="4.8"/>
    <n v="1655"/>
    <n v="6"/>
    <n v="2009"/>
    <s v="Non Fiction"/>
    <m/>
  </r>
  <r>
    <x v="273"/>
    <s v="Chip Gaines"/>
    <n v="4.9000000000000004"/>
    <n v="7861"/>
    <n v="6"/>
    <n v="2016"/>
    <s v="Non Fiction"/>
    <m/>
  </r>
  <r>
    <x v="274"/>
    <s v="Rick Riordan"/>
    <n v="4.8"/>
    <n v="6247"/>
    <n v="6"/>
    <n v="2012"/>
    <s v="Fiction"/>
    <m/>
  </r>
  <r>
    <x v="275"/>
    <s v="Andy Weir"/>
    <n v="4.7"/>
    <n v="39459"/>
    <n v="6"/>
    <n v="2015"/>
    <s v="Fiction"/>
    <m/>
  </r>
  <r>
    <x v="276"/>
    <s v="James Dashner"/>
    <n v="4.5"/>
    <n v="10101"/>
    <n v="6"/>
    <n v="2014"/>
    <s v="Fiction"/>
    <m/>
  </r>
  <r>
    <x v="277"/>
    <s v="Jeff Kinney"/>
    <n v="4.8"/>
    <n v="5898"/>
    <n v="6"/>
    <n v="2018"/>
    <s v="Fiction"/>
    <m/>
  </r>
  <r>
    <x v="278"/>
    <s v="The Washington Post"/>
    <n v="4.5999999999999996"/>
    <n v="2744"/>
    <n v="6"/>
    <n v="2019"/>
    <s v="Non Fiction"/>
    <m/>
  </r>
  <r>
    <x v="279"/>
    <s v="Kristin Hannah"/>
    <n v="4.8"/>
    <n v="49288"/>
    <n v="6"/>
    <n v="2015"/>
    <s v="Fiction"/>
    <m/>
  </r>
  <r>
    <x v="279"/>
    <s v="Kristin Hannah"/>
    <n v="4.8"/>
    <n v="49288"/>
    <n v="6"/>
    <n v="2016"/>
    <s v="Fiction"/>
    <m/>
  </r>
  <r>
    <x v="280"/>
    <s v="The College Board"/>
    <n v="4.4000000000000004"/>
    <n v="1201"/>
    <n v="6"/>
    <n v="2010"/>
    <s v="Non Fiction"/>
    <m/>
  </r>
  <r>
    <x v="280"/>
    <s v="The College Board"/>
    <n v="4.4000000000000004"/>
    <n v="1201"/>
    <n v="6"/>
    <n v="2011"/>
    <s v="Non Fiction"/>
    <m/>
  </r>
  <r>
    <x v="280"/>
    <s v="The College Board"/>
    <n v="4.4000000000000004"/>
    <n v="1201"/>
    <n v="6"/>
    <n v="2012"/>
    <s v="Non Fiction"/>
    <m/>
  </r>
  <r>
    <x v="280"/>
    <s v="The College Board"/>
    <n v="4.4000000000000004"/>
    <n v="1201"/>
    <n v="6"/>
    <n v="2013"/>
    <s v="Non Fiction"/>
    <m/>
  </r>
  <r>
    <x v="280"/>
    <s v="The College Board"/>
    <n v="4.4000000000000004"/>
    <n v="1201"/>
    <n v="6"/>
    <n v="2014"/>
    <s v="Non Fiction"/>
    <m/>
  </r>
  <r>
    <x v="281"/>
    <s v="The College Board"/>
    <n v="4.3"/>
    <n v="807"/>
    <n v="6"/>
    <n v="2016"/>
    <s v="Non Fiction"/>
    <m/>
  </r>
  <r>
    <x v="282"/>
    <s v="Paula McLain"/>
    <n v="4.3"/>
    <n v="3759"/>
    <n v="6"/>
    <n v="2011"/>
    <s v="Fiction"/>
    <m/>
  </r>
  <r>
    <x v="283"/>
    <s v="Ree Drummond"/>
    <n v="4.8"/>
    <n v="2663"/>
    <n v="6"/>
    <n v="2013"/>
    <s v="Non Fiction"/>
    <m/>
  </r>
  <r>
    <x v="284"/>
    <s v="Ree Drummond"/>
    <n v="4.8"/>
    <n v="3428"/>
    <n v="6"/>
    <n v="2015"/>
    <s v="Non Fiction"/>
    <m/>
  </r>
  <r>
    <x v="285"/>
    <s v="Ree Drummond"/>
    <n v="4.8"/>
    <n v="2876"/>
    <n v="6"/>
    <n v="2012"/>
    <s v="Non Fiction"/>
    <m/>
  </r>
  <r>
    <x v="286"/>
    <s v="Dr. Steven R Gundry MD"/>
    <n v="4.5"/>
    <n v="3601"/>
    <n v="6"/>
    <n v="2018"/>
    <s v="Non Fiction"/>
    <m/>
  </r>
  <r>
    <x v="287"/>
    <s v="Dr. Steven R Gundry MD"/>
    <n v="4.4000000000000004"/>
    <n v="7058"/>
    <n v="6"/>
    <n v="2018"/>
    <s v="Non Fiction"/>
    <m/>
  </r>
  <r>
    <x v="288"/>
    <s v="Deborah Diesen"/>
    <n v="4.8"/>
    <n v="9784"/>
    <n v="6"/>
    <n v="2017"/>
    <s v="Fiction"/>
    <m/>
  </r>
  <r>
    <x v="288"/>
    <s v="Deborah Diesen"/>
    <n v="4.8"/>
    <n v="9784"/>
    <n v="6"/>
    <n v="2018"/>
    <s v="Fiction"/>
    <m/>
  </r>
  <r>
    <x v="289"/>
    <s v="Charles Duhigg"/>
    <n v="4.5999999999999996"/>
    <n v="10795"/>
    <n v="6"/>
    <n v="2012"/>
    <s v="Non Fiction"/>
    <m/>
  </r>
  <r>
    <x v="290"/>
    <s v="James Patterson"/>
    <n v="4.3"/>
    <n v="10191"/>
    <n v="6"/>
    <n v="2018"/>
    <s v="Fiction"/>
    <m/>
  </r>
  <r>
    <x v="291"/>
    <s v="John Grisham"/>
    <n v="4.3"/>
    <n v="14493"/>
    <n v="6"/>
    <n v="2012"/>
    <s v="Fiction"/>
    <m/>
  </r>
  <r>
    <x v="292"/>
    <s v="Rick Riordan"/>
    <n v="4.5999999999999996"/>
    <n v="2186"/>
    <n v="6"/>
    <n v="2010"/>
    <s v="Fiction"/>
    <m/>
  </r>
  <r>
    <x v="293"/>
    <s v="F. A. Hayek"/>
    <n v="4.5999999999999996"/>
    <n v="1204"/>
    <n v="6"/>
    <n v="2010"/>
    <s v="Non Fiction"/>
    <m/>
  </r>
  <r>
    <x v="294"/>
    <s v="Rick Riordan"/>
    <n v="4.8"/>
    <n v="2091"/>
    <n v="6"/>
    <n v="2012"/>
    <s v="Fiction"/>
    <m/>
  </r>
  <r>
    <x v="295"/>
    <s v="William P. Young"/>
    <n v="4.5999999999999996"/>
    <n v="19720"/>
    <n v="6"/>
    <n v="2009"/>
    <s v="Fiction"/>
    <m/>
  </r>
  <r>
    <x v="295"/>
    <s v="William P. Young"/>
    <n v="4.5999999999999996"/>
    <n v="19720"/>
    <n v="6"/>
    <n v="2017"/>
    <s v="Fiction"/>
    <m/>
  </r>
  <r>
    <x v="296"/>
    <s v="Stephenie Meyer"/>
    <n v="4.5999999999999996"/>
    <n v="2122"/>
    <n v="6"/>
    <n v="2010"/>
    <s v="Fiction"/>
    <m/>
  </r>
  <r>
    <x v="297"/>
    <s v="Alex Michaelides"/>
    <n v="4.5"/>
    <n v="27536"/>
    <n v="6"/>
    <n v="2019"/>
    <s v="Fiction"/>
    <m/>
  </r>
  <r>
    <x v="298"/>
    <s v="Rick Riordan"/>
    <n v="4.8"/>
    <n v="4290"/>
    <n v="5"/>
    <n v="2011"/>
    <s v="Fiction"/>
    <m/>
  </r>
  <r>
    <x v="299"/>
    <s v="Mark Manson"/>
    <n v="4.5999999999999996"/>
    <n v="26490"/>
    <n v="5"/>
    <n v="2017"/>
    <s v="Non Fiction"/>
    <m/>
  </r>
  <r>
    <x v="299"/>
    <s v="Mark Manson"/>
    <n v="4.5999999999999996"/>
    <n v="26490"/>
    <n v="5"/>
    <n v="2018"/>
    <s v="Non Fiction"/>
    <m/>
  </r>
  <r>
    <x v="299"/>
    <s v="Mark Manson"/>
    <n v="4.5999999999999996"/>
    <n v="26490"/>
    <n v="5"/>
    <n v="2019"/>
    <s v="Non Fiction"/>
    <m/>
  </r>
  <r>
    <x v="300"/>
    <s v="Rupi Kaur"/>
    <n v="4.7"/>
    <n v="5487"/>
    <n v="5"/>
    <n v="2017"/>
    <s v="Non Fiction"/>
    <m/>
  </r>
  <r>
    <x v="301"/>
    <s v="Jeff Kinney"/>
    <n v="4.7"/>
    <n v="6377"/>
    <n v="5"/>
    <n v="2012"/>
    <s v="Fiction"/>
    <m/>
  </r>
  <r>
    <x v="302"/>
    <s v="Rick Riordan"/>
    <n v="4.7"/>
    <n v="1463"/>
    <n v="5"/>
    <n v="2011"/>
    <s v="Fiction"/>
    <m/>
  </r>
  <r>
    <x v="303"/>
    <s v="Audrey Niffenegger"/>
    <n v="4.4000000000000004"/>
    <n v="3759"/>
    <n v="5"/>
    <n v="2009"/>
    <s v="Fiction"/>
    <m/>
  </r>
  <r>
    <x v="304"/>
    <s v="Malcolm Gladwell"/>
    <n v="4.4000000000000004"/>
    <n v="3503"/>
    <n v="5"/>
    <n v="2009"/>
    <s v="Non Fiction"/>
    <m/>
  </r>
  <r>
    <x v="305"/>
    <s v="Dave Ramsey"/>
    <n v="4.7"/>
    <n v="11550"/>
    <n v="5"/>
    <n v="2019"/>
    <s v="Non Fiction"/>
    <m/>
  </r>
  <r>
    <x v="306"/>
    <s v="Stephenie Meyer"/>
    <n v="4.7"/>
    <n v="3801"/>
    <n v="5"/>
    <n v="2009"/>
    <s v="Fiction"/>
    <m/>
  </r>
  <r>
    <x v="307"/>
    <s v="Jeff Kinney"/>
    <n v="4.8"/>
    <n v="3796"/>
    <n v="5"/>
    <n v="2010"/>
    <s v="Fiction"/>
    <m/>
  </r>
  <r>
    <x v="308"/>
    <s v="Dinah Bucholz"/>
    <n v="4.7"/>
    <n v="9030"/>
    <n v="5"/>
    <n v="2019"/>
    <s v="Non Fiction"/>
    <m/>
  </r>
  <r>
    <x v="309"/>
    <s v="Eric Carle"/>
    <n v="4.9000000000000004"/>
    <n v="19546"/>
    <n v="5"/>
    <n v="2013"/>
    <s v="Fiction"/>
    <m/>
  </r>
  <r>
    <x v="309"/>
    <s v="Eric Carle"/>
    <n v="4.9000000000000004"/>
    <n v="19546"/>
    <n v="5"/>
    <n v="2014"/>
    <s v="Fiction"/>
    <m/>
  </r>
  <r>
    <x v="309"/>
    <s v="Eric Carle"/>
    <n v="4.9000000000000004"/>
    <n v="19546"/>
    <n v="5"/>
    <n v="2015"/>
    <s v="Fiction"/>
    <m/>
  </r>
  <r>
    <x v="309"/>
    <s v="Eric Carle"/>
    <n v="4.9000000000000004"/>
    <n v="19546"/>
    <n v="5"/>
    <n v="2016"/>
    <s v="Fiction"/>
    <m/>
  </r>
  <r>
    <x v="309"/>
    <s v="Eric Carle"/>
    <n v="4.9000000000000004"/>
    <n v="19546"/>
    <n v="5"/>
    <n v="2017"/>
    <s v="Fiction"/>
    <m/>
  </r>
  <r>
    <x v="309"/>
    <s v="Eric Carle"/>
    <n v="4.9000000000000004"/>
    <n v="19546"/>
    <n v="5"/>
    <n v="2018"/>
    <s v="Fiction"/>
    <m/>
  </r>
  <r>
    <x v="309"/>
    <s v="Eric Carle"/>
    <n v="4.9000000000000004"/>
    <n v="19546"/>
    <n v="5"/>
    <n v="2019"/>
    <s v="Fiction"/>
    <m/>
  </r>
  <r>
    <x v="310"/>
    <s v="Melissa Hartwig Urban"/>
    <n v="4.5999999999999996"/>
    <n v="7508"/>
    <n v="5"/>
    <n v="2015"/>
    <s v="Non Fiction"/>
    <m/>
  </r>
  <r>
    <x v="310"/>
    <s v="Melissa Hartwig Urban"/>
    <n v="4.5999999999999996"/>
    <n v="7508"/>
    <n v="5"/>
    <n v="2016"/>
    <s v="Non Fiction"/>
    <m/>
  </r>
  <r>
    <x v="310"/>
    <s v="Melissa Hartwig Urban"/>
    <n v="4.5999999999999996"/>
    <n v="7508"/>
    <n v="5"/>
    <n v="2017"/>
    <s v="Non Fiction"/>
    <m/>
  </r>
  <r>
    <x v="311"/>
    <s v="Emily Winfield Martin"/>
    <n v="4.9000000000000004"/>
    <n v="8842"/>
    <n v="5"/>
    <n v="2016"/>
    <s v="Fiction"/>
    <m/>
  </r>
  <r>
    <x v="311"/>
    <s v="Emily Winfield Martin"/>
    <n v="4.9000000000000004"/>
    <n v="8842"/>
    <n v="5"/>
    <n v="2017"/>
    <s v="Fiction"/>
    <m/>
  </r>
  <r>
    <x v="311"/>
    <s v="Emily Winfield Martin"/>
    <n v="4.9000000000000004"/>
    <n v="8842"/>
    <n v="5"/>
    <n v="2018"/>
    <s v="Fiction"/>
    <m/>
  </r>
  <r>
    <x v="311"/>
    <s v="Emily Winfield Martin"/>
    <n v="4.9000000000000004"/>
    <n v="8842"/>
    <n v="5"/>
    <n v="2019"/>
    <s v="Fiction"/>
    <m/>
  </r>
  <r>
    <x v="312"/>
    <s v="Craig Smith"/>
    <n v="4.8"/>
    <n v="30183"/>
    <n v="5"/>
    <n v="2018"/>
    <s v="Fiction"/>
    <m/>
  </r>
  <r>
    <x v="312"/>
    <s v="Craig Smith"/>
    <n v="4.8"/>
    <n v="30183"/>
    <n v="5"/>
    <n v="2019"/>
    <s v="Fiction"/>
    <m/>
  </r>
  <r>
    <x v="313"/>
    <s v="David McCullough"/>
    <n v="4.7"/>
    <n v="6169"/>
    <n v="5"/>
    <n v="2015"/>
    <s v="Non Fiction"/>
    <m/>
  </r>
  <r>
    <x v="314"/>
    <s v="Charles Krauthammer"/>
    <n v="4.7"/>
    <n v="7034"/>
    <n v="5"/>
    <n v="2013"/>
    <s v="Non Fiction"/>
    <m/>
  </r>
  <r>
    <x v="315"/>
    <s v="Daniel Kahneman"/>
    <n v="4.5999999999999996"/>
    <n v="11034"/>
    <n v="5"/>
    <n v="2011"/>
    <s v="Non Fiction"/>
    <m/>
  </r>
  <r>
    <x v="315"/>
    <s v="Daniel Kahneman"/>
    <n v="4.5999999999999996"/>
    <n v="11034"/>
    <n v="5"/>
    <n v="2012"/>
    <s v="Non Fiction"/>
    <m/>
  </r>
  <r>
    <x v="316"/>
    <s v="Jay Asher"/>
    <n v="4.5"/>
    <n v="7932"/>
    <n v="5"/>
    <n v="2017"/>
    <s v="Fiction"/>
    <m/>
  </r>
  <r>
    <x v="317"/>
    <s v="Jon Meacham"/>
    <n v="4.5"/>
    <n v="1904"/>
    <n v="5"/>
    <n v="2012"/>
    <s v="Non Fiction"/>
    <m/>
  </r>
  <r>
    <x v="318"/>
    <s v="Greg Mortenson"/>
    <n v="4.3"/>
    <n v="3319"/>
    <n v="5"/>
    <n v="2009"/>
    <s v="Non Fiction"/>
    <m/>
  </r>
  <r>
    <x v="318"/>
    <s v="Greg Mortenson"/>
    <n v="4.3"/>
    <n v="3319"/>
    <n v="4"/>
    <n v="2010"/>
    <s v="Non Fiction"/>
    <m/>
  </r>
  <r>
    <x v="319"/>
    <s v="Thug Kitchen"/>
    <n v="4.5999999999999996"/>
    <n v="11128"/>
    <n v="4"/>
    <n v="2014"/>
    <s v="Non Fiction"/>
    <m/>
  </r>
  <r>
    <x v="319"/>
    <s v="Thug Kitchen"/>
    <n v="4.5999999999999996"/>
    <n v="11128"/>
    <n v="4"/>
    <n v="2015"/>
    <s v="Non Fiction"/>
    <m/>
  </r>
  <r>
    <x v="319"/>
    <s v="Thug Kitchen"/>
    <n v="4.5999999999999996"/>
    <n v="11128"/>
    <n v="4"/>
    <n v="2016"/>
    <s v="Non Fiction"/>
    <m/>
  </r>
  <r>
    <x v="319"/>
    <s v="Thug Kitchen"/>
    <n v="4.5999999999999996"/>
    <n v="11128"/>
    <n v="4"/>
    <n v="2017"/>
    <s v="Non Fiction"/>
    <m/>
  </r>
  <r>
    <x v="320"/>
    <s v="Tina Fey"/>
    <n v="4.3"/>
    <n v="5977"/>
    <n v="4"/>
    <n v="2011"/>
    <s v="Non Fiction"/>
    <m/>
  </r>
  <r>
    <x v="321"/>
    <s v="Harper Lee"/>
    <n v="4.8"/>
    <n v="26234"/>
    <n v="4"/>
    <n v="2013"/>
    <s v="Fiction"/>
    <m/>
  </r>
  <r>
    <x v="321"/>
    <s v="Harper Lee"/>
    <n v="4.8"/>
    <n v="26234"/>
    <n v="4"/>
    <n v="2014"/>
    <s v="Fiction"/>
    <m/>
  </r>
  <r>
    <x v="321"/>
    <s v="Harper Lee"/>
    <n v="4.8"/>
    <n v="26234"/>
    <n v="4"/>
    <n v="2015"/>
    <s v="Fiction"/>
    <m/>
  </r>
  <r>
    <x v="321"/>
    <s v="Harper Lee"/>
    <n v="4.8"/>
    <n v="26234"/>
    <n v="4"/>
    <n v="2016"/>
    <s v="Fiction"/>
    <m/>
  </r>
  <r>
    <x v="321"/>
    <s v="Harper Lee"/>
    <n v="4.8"/>
    <n v="26234"/>
    <n v="4"/>
    <n v="2019"/>
    <s v="Fiction"/>
    <m/>
  </r>
  <r>
    <x v="322"/>
    <s v="Timothy Ferriss"/>
    <n v="4.5999999999999996"/>
    <n v="4360"/>
    <n v="4"/>
    <n v="2017"/>
    <s v="Non Fiction"/>
    <m/>
  </r>
  <r>
    <x v="323"/>
    <s v="Robert Jordan"/>
    <n v="4.8"/>
    <n v="2282"/>
    <n v="4"/>
    <n v="2010"/>
    <s v="Fiction"/>
    <m/>
  </r>
  <r>
    <x v="324"/>
    <s v="Edward M. Kennedy"/>
    <n v="4.5"/>
    <n v="438"/>
    <n v="4"/>
    <n v="2009"/>
    <s v="Non Fiction"/>
    <m/>
  </r>
  <r>
    <x v="325"/>
    <s v="Stephenie Meyer"/>
    <n v="4.7"/>
    <n v="11676"/>
    <n v="4"/>
    <n v="2009"/>
    <s v="Fiction"/>
    <m/>
  </r>
  <r>
    <x v="326"/>
    <s v="DK"/>
    <n v="4.5"/>
    <n v="2586"/>
    <n v="4"/>
    <n v="2014"/>
    <s v="Fiction"/>
    <m/>
  </r>
  <r>
    <x v="327"/>
    <s v="Laura Hillenbrand"/>
    <n v="4.8"/>
    <n v="29673"/>
    <n v="4"/>
    <n v="2010"/>
    <s v="Non Fiction"/>
    <m/>
  </r>
  <r>
    <x v="327"/>
    <s v="Laura Hillenbrand"/>
    <n v="4.8"/>
    <n v="29673"/>
    <n v="4"/>
    <n v="2011"/>
    <s v="Non Fiction"/>
    <m/>
  </r>
  <r>
    <x v="327"/>
    <s v="Laura Hillenbrand"/>
    <n v="4.8"/>
    <n v="29673"/>
    <n v="4"/>
    <n v="2012"/>
    <s v="Non Fiction"/>
    <m/>
  </r>
  <r>
    <x v="327"/>
    <s v="Laura Hillenbrand"/>
    <n v="4.8"/>
    <n v="29673"/>
    <n v="4"/>
    <n v="2014"/>
    <s v="Non Fiction"/>
    <m/>
  </r>
  <r>
    <x v="327"/>
    <s v="Laura Hillenbrand"/>
    <n v="4.8"/>
    <n v="29673"/>
    <n v="4"/>
    <n v="2014"/>
    <s v="Non Fiction"/>
    <m/>
  </r>
  <r>
    <x v="328"/>
    <s v="Stephen King"/>
    <n v="4.3"/>
    <n v="6740"/>
    <n v="4"/>
    <n v="2009"/>
    <s v="Fiction"/>
    <m/>
  </r>
  <r>
    <x v="329"/>
    <s v="Mark R. Levin"/>
    <n v="4.9000000000000004"/>
    <n v="5956"/>
    <n v="4"/>
    <n v="2019"/>
    <s v="Non Fiction"/>
    <m/>
  </r>
  <r>
    <x v="330"/>
    <s v="Silly Bear"/>
    <n v="4.8"/>
    <n v="6108"/>
    <n v="4"/>
    <n v="2019"/>
    <s v="Non Fiction"/>
    <m/>
  </r>
  <r>
    <x v="331"/>
    <s v="Lysa TerKeurst"/>
    <n v="4.7"/>
    <n v="4585"/>
    <n v="4"/>
    <n v="2016"/>
    <s v="Non Fiction"/>
    <m/>
  </r>
  <r>
    <x v="332"/>
    <s v="Alan Moore"/>
    <n v="4.8"/>
    <n v="3829"/>
    <n v="4"/>
    <n v="2009"/>
    <s v="Fiction"/>
    <m/>
  </r>
  <r>
    <x v="333"/>
    <s v="Sara Gruen"/>
    <n v="4.5"/>
    <n v="8958"/>
    <n v="4"/>
    <n v="2011"/>
    <s v="Fiction"/>
    <m/>
  </r>
  <r>
    <x v="334"/>
    <s v="Hillary Rodham Clinton"/>
    <n v="4.5999999999999996"/>
    <n v="5492"/>
    <n v="4"/>
    <n v="2017"/>
    <s v="Non Fiction"/>
    <m/>
  </r>
  <r>
    <x v="335"/>
    <s v="Randall Munroe"/>
    <n v="4.7"/>
    <n v="9292"/>
    <n v="4"/>
    <n v="2014"/>
    <s v="Non Fiction"/>
    <m/>
  </r>
  <r>
    <x v="336"/>
    <s v="Dr. Seuss"/>
    <n v="4.7"/>
    <n v="1873"/>
    <n v="4"/>
    <n v="2015"/>
    <s v="Fiction"/>
    <m/>
  </r>
  <r>
    <x v="337"/>
    <s v="Adir Levy"/>
    <n v="4.8"/>
    <n v="8170"/>
    <n v="4"/>
    <n v="2019"/>
    <s v="Fiction"/>
    <m/>
  </r>
  <r>
    <x v="338"/>
    <s v="Heidi Murkoff"/>
    <n v="4.4000000000000004"/>
    <n v="3341"/>
    <n v="4"/>
    <n v="2011"/>
    <s v="Non Fiction"/>
    <m/>
  </r>
  <r>
    <x v="339"/>
    <s v="William Davis"/>
    <n v="4.4000000000000004"/>
    <n v="7497"/>
    <n v="3"/>
    <n v="2012"/>
    <s v="Non Fiction"/>
    <m/>
  </r>
  <r>
    <x v="339"/>
    <s v="William Davis"/>
    <n v="4.4000000000000004"/>
    <n v="7497"/>
    <n v="2"/>
    <n v="2013"/>
    <s v="Non Fiction"/>
    <m/>
  </r>
  <r>
    <x v="340"/>
    <s v="Paul Kalanithi"/>
    <n v="4.8"/>
    <n v="13779"/>
    <n v="2"/>
    <n v="2016"/>
    <s v="Non Fiction"/>
    <m/>
  </r>
  <r>
    <x v="341"/>
    <s v="Delia Owens"/>
    <n v="4.8"/>
    <n v="87841"/>
    <n v="2"/>
    <n v="2019"/>
    <s v="Fiction"/>
    <m/>
  </r>
  <r>
    <x v="342"/>
    <s v="Maurice Sendak"/>
    <n v="4.8"/>
    <n v="9967"/>
    <n v="2"/>
    <n v="2009"/>
    <s v="Fiction"/>
    <m/>
  </r>
  <r>
    <x v="343"/>
    <s v="The Staff of The Late Show with"/>
    <n v="4.5999999999999996"/>
    <n v="6669"/>
    <n v="2"/>
    <n v="2018"/>
    <s v="Non Fiction"/>
    <m/>
  </r>
  <r>
    <x v="344"/>
    <s v="Cheryl Strayed"/>
    <n v="4.4000000000000004"/>
    <n v="17044"/>
    <n v="1"/>
    <n v="2012"/>
    <s v="Non Fiction"/>
    <m/>
  </r>
  <r>
    <x v="345"/>
    <s v="Ken Follett"/>
    <n v="4.5"/>
    <n v="10760"/>
    <n v="0"/>
    <n v="2012"/>
    <s v="Fiction"/>
    <m/>
  </r>
  <r>
    <x v="346"/>
    <s v="Geneen Roth"/>
    <n v="4.2"/>
    <n v="1302"/>
    <n v="0"/>
    <n v="2010"/>
    <s v="Non Fiction"/>
    <m/>
  </r>
  <r>
    <x v="347"/>
    <s v="R. J. Palacio"/>
    <n v="4.8"/>
    <n v="21625"/>
    <n v="0"/>
    <n v="2013"/>
    <s v="Fiction"/>
    <m/>
  </r>
  <r>
    <x v="347"/>
    <s v="R. J. Palacio"/>
    <n v="4.8"/>
    <n v="21625"/>
    <n v="0"/>
    <n v="2014"/>
    <s v="Fiction"/>
    <m/>
  </r>
  <r>
    <x v="347"/>
    <s v="R. J. Palacio"/>
    <n v="4.8"/>
    <n v="21625"/>
    <n v="0"/>
    <n v="2015"/>
    <s v="Fiction"/>
    <m/>
  </r>
  <r>
    <x v="347"/>
    <s v="R. J. Palacio"/>
    <n v="4.8"/>
    <n v="21625"/>
    <n v="0"/>
    <n v="2016"/>
    <s v="Fiction"/>
    <m/>
  </r>
  <r>
    <x v="347"/>
    <s v="R. J. Palacio"/>
    <n v="4.8"/>
    <n v="21625"/>
    <n v="0"/>
    <n v="2017"/>
    <s v="Fiction"/>
    <m/>
  </r>
  <r>
    <x v="348"/>
    <s v="Jeff Kinney"/>
    <n v="4.9000000000000004"/>
    <n v="9413"/>
    <n v="0"/>
    <n v="2019"/>
    <s v="Fiction"/>
    <m/>
  </r>
  <r>
    <x v="349"/>
    <s v="Jen Sincero"/>
    <n v="4.7"/>
    <n v="14331"/>
    <n v="0"/>
    <n v="2016"/>
    <s v="Non Fiction"/>
    <m/>
  </r>
  <r>
    <x v="349"/>
    <s v="Jen Sincero"/>
    <n v="4.7"/>
    <n v="14331"/>
    <n v="0"/>
    <n v="2017"/>
    <s v="Non Fiction"/>
    <m/>
  </r>
  <r>
    <x v="349"/>
    <s v="Jen Sincero"/>
    <n v="4.7"/>
    <n v="14331"/>
    <n v="0"/>
    <n v="2018"/>
    <s v="Non Fiction"/>
    <m/>
  </r>
  <r>
    <x v="349"/>
    <s v="Jen Sincero"/>
    <n v="4.7"/>
    <n v="14331"/>
    <n v="0"/>
    <n v="2019"/>
    <s v="Non Fiction"/>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0">
  <r>
    <s v="10-Day Green Smoothie Cleanse"/>
    <s v="JJ Smith"/>
    <n v="4.7"/>
    <n v="17350"/>
    <n v="105"/>
    <n v="2016"/>
    <x v="0"/>
  </r>
  <r>
    <s v="11/22/63: A Novel"/>
    <s v="Stephen King"/>
    <n v="4.5999999999999996"/>
    <n v="2052"/>
    <n v="105"/>
    <n v="2011"/>
    <x v="1"/>
  </r>
  <r>
    <s v="12 Rules for Life: An Antidote to Chaos"/>
    <s v="Jordan B. Peterson"/>
    <n v="4.7"/>
    <n v="18979"/>
    <n v="82"/>
    <n v="2018"/>
    <x v="0"/>
  </r>
  <r>
    <s v="1984 (Signet Classics)"/>
    <s v="George Orwell"/>
    <n v="4.7"/>
    <n v="21424"/>
    <n v="54"/>
    <n v="2017"/>
    <x v="1"/>
  </r>
  <r>
    <s v="5,000 Awesome Facts (About Everything!) (National Geographic Kids)"/>
    <s v="National Geographic Kids"/>
    <n v="4.8"/>
    <n v="7665"/>
    <n v="53"/>
    <n v="2019"/>
    <x v="0"/>
  </r>
  <r>
    <s v="A Dance with Dragons (A Song of Ice and Fire)"/>
    <s v="George R. R. Martin"/>
    <n v="4.4000000000000004"/>
    <n v="12643"/>
    <n v="52"/>
    <n v="2011"/>
    <x v="1"/>
  </r>
  <r>
    <s v="A Game of Thrones / A Clash of Kings / A Storm of Swords / A Feast of Crows / A Dance with Dragons"/>
    <s v="George R. R. Martin"/>
    <n v="4.7"/>
    <n v="19735"/>
    <n v="46"/>
    <n v="2014"/>
    <x v="1"/>
  </r>
  <r>
    <s v="A Gentleman in Moscow: A Novel"/>
    <s v="Amor Towles"/>
    <n v="4.7"/>
    <n v="19699"/>
    <n v="46"/>
    <n v="2017"/>
    <x v="1"/>
  </r>
  <r>
    <s v="A Higher Loyalty: Truth, Lies, and Leadership"/>
    <s v="James Comey"/>
    <n v="4.7"/>
    <n v="5983"/>
    <n v="46"/>
    <n v="2018"/>
    <x v="0"/>
  </r>
  <r>
    <s v="A Man Called Ove: A Novel"/>
    <s v="Fredrik Backman"/>
    <n v="4.5999999999999996"/>
    <n v="23848"/>
    <n v="46"/>
    <n v="2016"/>
    <x v="1"/>
  </r>
  <r>
    <s v="A Man Called Ove: A Novel"/>
    <s v="Fredrik Backman"/>
    <n v="4.5999999999999996"/>
    <n v="23848"/>
    <n v="46"/>
    <n v="2017"/>
    <x v="1"/>
  </r>
  <r>
    <s v="A Patriot's History of the United States: From Columbus's Great Discovery to the War on Terror"/>
    <s v="Larry Schweikart"/>
    <n v="4.5999999999999996"/>
    <n v="460"/>
    <n v="46"/>
    <n v="2010"/>
    <x v="0"/>
  </r>
  <r>
    <s v="A Stolen Life: A Memoir"/>
    <s v="Jaycee Dugard"/>
    <n v="4.5999999999999996"/>
    <n v="4149"/>
    <n v="46"/>
    <n v="2011"/>
    <x v="0"/>
  </r>
  <r>
    <s v="A Wrinkle in Time (Time Quintet)"/>
    <s v="Madeleine L'Engle"/>
    <n v="4.5"/>
    <n v="5153"/>
    <n v="46"/>
    <n v="2018"/>
    <x v="1"/>
  </r>
  <r>
    <s v="Act Like a Lady, Think Like a Man: What Men Really Think About Love, Relationships, Intimacy, and Commitment"/>
    <s v="Steve Harvey"/>
    <n v="4.5999999999999996"/>
    <n v="5013"/>
    <n v="46"/>
    <n v="2009"/>
    <x v="0"/>
  </r>
  <r>
    <s v="Adult Coloring Book Designs: Stress Relief Coloring Book: Garden Designs, Mandalas, Animals, and Paisley Patterns"/>
    <s v="Adult Coloring Book Designs"/>
    <n v="4.5"/>
    <n v="2313"/>
    <n v="46"/>
    <n v="2016"/>
    <x v="0"/>
  </r>
  <r>
    <s v="Adult Coloring Book: Stress Relieving Animal Designs"/>
    <s v="Blue Star Coloring"/>
    <n v="4.5999999999999996"/>
    <n v="2925"/>
    <n v="42"/>
    <n v="2015"/>
    <x v="0"/>
  </r>
  <r>
    <s v="Adult Coloring Book: Stress Relieving Patterns"/>
    <s v="Blue Star Coloring"/>
    <n v="4.4000000000000004"/>
    <n v="2951"/>
    <n v="40"/>
    <n v="2015"/>
    <x v="0"/>
  </r>
  <r>
    <s v="Adult Coloring Books: A Coloring Book for Adults Featuring Mandalas and Henna Inspired Flowers, Animals, and Paisley…"/>
    <s v="Coloring Books for Adults"/>
    <n v="4.5"/>
    <n v="2426"/>
    <n v="40"/>
    <n v="2015"/>
    <x v="0"/>
  </r>
  <r>
    <s v="Alexander Hamilton"/>
    <s v="Ron Chernow"/>
    <n v="4.8"/>
    <n v="9198"/>
    <n v="40"/>
    <n v="2016"/>
    <x v="0"/>
  </r>
  <r>
    <s v="All the Light We Cannot See"/>
    <s v="Anthony Doerr"/>
    <n v="4.5999999999999996"/>
    <n v="36348"/>
    <n v="40"/>
    <n v="2014"/>
    <x v="1"/>
  </r>
  <r>
    <s v="All the Light We Cannot See"/>
    <s v="Anthony Doerr"/>
    <n v="4.5999999999999996"/>
    <n v="36348"/>
    <n v="40"/>
    <n v="2015"/>
    <x v="1"/>
  </r>
  <r>
    <s v="Allegiant"/>
    <s v="Veronica Roth"/>
    <n v="3.9"/>
    <n v="6310"/>
    <n v="39"/>
    <n v="2013"/>
    <x v="1"/>
  </r>
  <r>
    <s v="American Sniper: The Autobiography of the Most Lethal Sniper in U.S. Military History"/>
    <s v="Chris Kyle"/>
    <n v="4.5999999999999996"/>
    <n v="15921"/>
    <n v="36"/>
    <n v="2015"/>
    <x v="0"/>
  </r>
  <r>
    <s v="And the Mountains Echoed"/>
    <s v="Khaled Hosseini"/>
    <n v="4.3"/>
    <n v="12159"/>
    <n v="32"/>
    <n v="2013"/>
    <x v="1"/>
  </r>
  <r>
    <s v="Arguing with Idiots: How to Stop Small Minds and Big Government"/>
    <s v="Glenn Beck"/>
    <n v="4.5999999999999996"/>
    <n v="798"/>
    <n v="32"/>
    <n v="2009"/>
    <x v="0"/>
  </r>
  <r>
    <s v="Astrophysics for People in a Hurry"/>
    <s v="Neil deGrasse Tyson"/>
    <n v="4.7"/>
    <n v="9374"/>
    <n v="30"/>
    <n v="2017"/>
    <x v="0"/>
  </r>
  <r>
    <s v="Autobiography of Mark Twain, Vol. 1"/>
    <s v="Mark Twain"/>
    <n v="4.2"/>
    <n v="491"/>
    <n v="30"/>
    <n v="2010"/>
    <x v="0"/>
  </r>
  <r>
    <s v="Baby Touch and Feel: Animals"/>
    <s v="DK"/>
    <n v="4.5999999999999996"/>
    <n v="5360"/>
    <n v="30"/>
    <n v="2015"/>
    <x v="0"/>
  </r>
  <r>
    <s v="Balance (Angie's Extreme Stress Menders)"/>
    <s v="Angie Grace"/>
    <n v="4.5999999999999996"/>
    <n v="1909"/>
    <n v="30"/>
    <n v="2015"/>
    <x v="0"/>
  </r>
  <r>
    <s v="Barefoot Contessa Foolproof: Recipes You Can Trust: A Cookbook"/>
    <s v="Ina Garten"/>
    <n v="4.8"/>
    <n v="1296"/>
    <n v="30"/>
    <n v="2012"/>
    <x v="0"/>
  </r>
  <r>
    <s v="Barefoot Contessa, How Easy Is That?: Fabulous Recipes &amp; Easy Tips"/>
    <s v="Ina Garten"/>
    <n v="4.7"/>
    <n v="615"/>
    <n v="28"/>
    <n v="2010"/>
    <x v="0"/>
  </r>
  <r>
    <s v="Becoming"/>
    <s v="Michelle Obama"/>
    <n v="4.8"/>
    <n v="61133"/>
    <n v="28"/>
    <n v="2018"/>
    <x v="0"/>
  </r>
  <r>
    <s v="Becoming"/>
    <s v="Michelle Obama"/>
    <n v="4.8"/>
    <n v="61133"/>
    <n v="28"/>
    <n v="2019"/>
    <x v="0"/>
  </r>
  <r>
    <s v="Being Mortal: Medicine and What Matters in the End"/>
    <s v="Atul Gawande"/>
    <n v="4.8"/>
    <n v="11113"/>
    <n v="28"/>
    <n v="2015"/>
    <x v="0"/>
  </r>
  <r>
    <s v="Between the World and Me"/>
    <s v="Ta-Nehisi Coates"/>
    <n v="4.7"/>
    <n v="10070"/>
    <n v="28"/>
    <n v="2015"/>
    <x v="0"/>
  </r>
  <r>
    <s v="Between the World and Me"/>
    <s v="Ta-Nehisi Coates"/>
    <n v="4.7"/>
    <n v="10070"/>
    <n v="28"/>
    <n v="2016"/>
    <x v="0"/>
  </r>
  <r>
    <s v="Born to Run"/>
    <s v="Bruce Springsteen"/>
    <n v="4.7"/>
    <n v="3729"/>
    <n v="27"/>
    <n v="2016"/>
    <x v="0"/>
  </r>
  <r>
    <s v="Breaking Dawn (The Twilight Saga, Book 4)"/>
    <s v="Stephenie Meyer"/>
    <n v="4.5999999999999996"/>
    <n v="9769"/>
    <n v="27"/>
    <n v="2009"/>
    <x v="1"/>
  </r>
  <r>
    <s v="Broke: The Plan to Restore Our Trust, Truth and Treasure"/>
    <s v="Glenn Beck"/>
    <n v="4.5"/>
    <n v="471"/>
    <n v="27"/>
    <n v="2010"/>
    <x v="0"/>
  </r>
  <r>
    <s v="Brown Bear, Brown Bear, What Do You See?"/>
    <s v="Bill Martin Jr."/>
    <n v="4.9000000000000004"/>
    <n v="14344"/>
    <n v="27"/>
    <n v="2017"/>
    <x v="1"/>
  </r>
  <r>
    <s v="Brown Bear, Brown Bear, What Do You See?"/>
    <s v="Bill Martin Jr."/>
    <n v="4.9000000000000004"/>
    <n v="14344"/>
    <n v="25"/>
    <n v="2019"/>
    <x v="1"/>
  </r>
  <r>
    <s v="Cabin Fever (Diary of a Wimpy Kid, Book 6)"/>
    <s v="Jeff Kinney"/>
    <n v="4.8"/>
    <n v="4505"/>
    <n v="25"/>
    <n v="2011"/>
    <x v="1"/>
  </r>
  <r>
    <s v="Calm the F*ck Down: An Irreverent Adult Coloring Book (Irreverent Book Series)"/>
    <s v="Sasha O'Hara"/>
    <n v="4.5999999999999996"/>
    <n v="10369"/>
    <n v="24"/>
    <n v="2016"/>
    <x v="0"/>
  </r>
  <r>
    <s v="Can't Hurt Me: Master Your Mind and Defy the Odds"/>
    <s v="David Goggins"/>
    <n v="4.8"/>
    <n v="16244"/>
    <n v="24"/>
    <n v="2019"/>
    <x v="0"/>
  </r>
  <r>
    <s v="Capital in the Twenty First Century"/>
    <s v="Thomas Piketty"/>
    <n v="4.5"/>
    <n v="2884"/>
    <n v="24"/>
    <n v="2014"/>
    <x v="0"/>
  </r>
  <r>
    <s v="Catching Fire (The Hunger Games)"/>
    <s v="Suzanne Collins"/>
    <n v="4.7"/>
    <n v="22614"/>
    <n v="24"/>
    <n v="2010"/>
    <x v="1"/>
  </r>
  <r>
    <s v="Catching Fire (The Hunger Games)"/>
    <s v="Suzanne Collins"/>
    <n v="4.7"/>
    <n v="22614"/>
    <n v="24"/>
    <n v="2011"/>
    <x v="1"/>
  </r>
  <r>
    <s v="Catching Fire (The Hunger Games)"/>
    <s v="Suzanne Collins"/>
    <n v="4.7"/>
    <n v="22614"/>
    <n v="23"/>
    <n v="2012"/>
    <x v="1"/>
  </r>
  <r>
    <s v="Cravings: Recipes for All the Food You Want to Eat: A Cookbook"/>
    <s v="Chrissy Teigen"/>
    <n v="4.7"/>
    <n v="4761"/>
    <n v="23"/>
    <n v="2016"/>
    <x v="0"/>
  </r>
  <r>
    <s v="Crazy Love: Overwhelmed by a Relentless God"/>
    <s v="Francis Chan"/>
    <n v="4.7"/>
    <n v="1542"/>
    <n v="23"/>
    <n v="2009"/>
    <x v="0"/>
  </r>
  <r>
    <s v="Crazy Love: Overwhelmed by a Relentless God"/>
    <s v="Francis Chan"/>
    <n v="4.7"/>
    <n v="1542"/>
    <n v="23"/>
    <n v="2010"/>
    <x v="0"/>
  </r>
  <r>
    <s v="Crazy Love: Overwhelmed by a Relentless God"/>
    <s v="Francis Chan"/>
    <n v="4.7"/>
    <n v="1542"/>
    <n v="23"/>
    <n v="2011"/>
    <x v="0"/>
  </r>
  <r>
    <s v="Crazy Rich Asians (Crazy Rich Asians Trilogy)"/>
    <s v="Kevin Kwan"/>
    <n v="4.3"/>
    <n v="6143"/>
    <n v="22"/>
    <n v="2018"/>
    <x v="1"/>
  </r>
  <r>
    <s v="Creative Haven Creative Cats Coloring Book (Adult Coloring)"/>
    <s v="Marjorie Sarnat"/>
    <n v="4.8"/>
    <n v="4022"/>
    <n v="22"/>
    <n v="2015"/>
    <x v="0"/>
  </r>
  <r>
    <s v="Creative Haven Owls Coloring Book (Adult Coloring)"/>
    <s v="Marjorie Sarnat"/>
    <n v="4.8"/>
    <n v="3871"/>
    <n v="22"/>
    <n v="2015"/>
    <x v="0"/>
  </r>
  <r>
    <s v="Cutting for Stone"/>
    <s v="Abraham Verghese"/>
    <n v="4.5999999999999996"/>
    <n v="4866"/>
    <n v="22"/>
    <n v="2010"/>
    <x v="1"/>
  </r>
  <r>
    <s v="Cutting for Stone"/>
    <s v="Abraham Verghese"/>
    <n v="4.5999999999999996"/>
    <n v="4866"/>
    <n v="22"/>
    <n v="2011"/>
    <x v="1"/>
  </r>
  <r>
    <s v="Daring Greatly: How the Courage to Be Vulnerable Transforms the Way We Live, Love, Parent, and Lead"/>
    <s v="Brené Brown"/>
    <n v="4.8"/>
    <n v="1329"/>
    <n v="22"/>
    <n v="2013"/>
    <x v="0"/>
  </r>
  <r>
    <s v="David and Goliath: Underdogs, Misfits, and the Art of Battling Giants"/>
    <s v="Malcolm Gladwell"/>
    <n v="4.4000000000000004"/>
    <n v="4642"/>
    <n v="21"/>
    <n v="2013"/>
    <x v="0"/>
  </r>
  <r>
    <s v="Dead And Gone: A Sookie Stackhouse Novel (Sookie Stackhouse/True Blood)"/>
    <s v="Charlaine Harris"/>
    <n v="4.5999999999999996"/>
    <n v="1541"/>
    <n v="21"/>
    <n v="2009"/>
    <x v="1"/>
  </r>
  <r>
    <s v="Dead in the Family (Sookie Stackhouse/True Blood, Book 10)"/>
    <s v="Charlaine Harris"/>
    <n v="4.3"/>
    <n v="1924"/>
    <n v="21"/>
    <n v="2010"/>
    <x v="1"/>
  </r>
  <r>
    <s v="Dead Reckoning (Sookie Stackhouse/True Blood, Book 11)"/>
    <s v="Charlaine Harris"/>
    <n v="4.2"/>
    <n v="2094"/>
    <n v="21"/>
    <n v="2011"/>
    <x v="1"/>
  </r>
  <r>
    <s v="Dear Zoo: A Lift-the-Flap Book"/>
    <s v="Rod Campbell"/>
    <n v="4.8"/>
    <n v="10922"/>
    <n v="21"/>
    <n v="2015"/>
    <x v="1"/>
  </r>
  <r>
    <s v="Dear Zoo: A Lift-the-Flap Book"/>
    <s v="Rod Campbell"/>
    <n v="4.8"/>
    <n v="10922"/>
    <n v="21"/>
    <n v="2016"/>
    <x v="1"/>
  </r>
  <r>
    <s v="Dear Zoo: A Lift-the-Flap Book"/>
    <s v="Rod Campbell"/>
    <n v="4.8"/>
    <n v="10922"/>
    <n v="21"/>
    <n v="2017"/>
    <x v="1"/>
  </r>
  <r>
    <s v="Dear Zoo: A Lift-the-Flap Book"/>
    <s v="Rod Campbell"/>
    <n v="4.8"/>
    <n v="10922"/>
    <n v="21"/>
    <n v="2018"/>
    <x v="1"/>
  </r>
  <r>
    <s v="Decision Points"/>
    <s v="George W. Bush"/>
    <n v="4.5999999999999996"/>
    <n v="2137"/>
    <n v="21"/>
    <n v="2010"/>
    <x v="0"/>
  </r>
  <r>
    <s v="Delivering Happiness: A Path to Profits, Passion, and Purpose"/>
    <s v="Tony Hsieh"/>
    <n v="4.5999999999999996"/>
    <n v="1651"/>
    <n v="20"/>
    <n v="2010"/>
    <x v="0"/>
  </r>
  <r>
    <s v="Diagnostic and Statistical Manual of Mental Disorders, 5th Edition: DSM-5"/>
    <s v="American Psychiatric Association"/>
    <n v="4.5"/>
    <n v="6679"/>
    <n v="20"/>
    <n v="2013"/>
    <x v="0"/>
  </r>
  <r>
    <s v="Diagnostic and Statistical Manual of Mental Disorders, 5th Edition: DSM-5"/>
    <s v="American Psychiatric Association"/>
    <n v="4.5"/>
    <n v="6679"/>
    <n v="20"/>
    <n v="2014"/>
    <x v="0"/>
  </r>
  <r>
    <s v="Diary of a Wimpy Kid: Hard Luck, Book 8"/>
    <s v="Jeff Kinney"/>
    <n v="4.8"/>
    <n v="6812"/>
    <n v="20"/>
    <n v="2013"/>
    <x v="1"/>
  </r>
  <r>
    <s v="Diary of a Wimpy Kid: The Last Straw (Book 3)"/>
    <s v="Jeff Kinney"/>
    <n v="4.8"/>
    <n v="3837"/>
    <n v="20"/>
    <n v="2009"/>
    <x v="1"/>
  </r>
  <r>
    <s v="Diary of a Wimpy Kid: The Long Haul"/>
    <s v="Jeff Kinney"/>
    <n v="4.8"/>
    <n v="6540"/>
    <n v="20"/>
    <n v="2014"/>
    <x v="1"/>
  </r>
  <r>
    <s v="Difficult Riddles For Smart Kids: 300 Difficult Riddles And Brain Teasers Families Will Love (Books for Smart Kids)"/>
    <s v="M Prefontaine"/>
    <n v="4.5999999999999996"/>
    <n v="7955"/>
    <n v="20"/>
    <n v="2019"/>
    <x v="0"/>
  </r>
  <r>
    <s v="Divergent"/>
    <s v="Veronica Roth"/>
    <n v="4.5999999999999996"/>
    <n v="27098"/>
    <n v="20"/>
    <n v="2013"/>
    <x v="1"/>
  </r>
  <r>
    <s v="Divergent"/>
    <s v="Veronica Roth"/>
    <n v="4.5999999999999996"/>
    <n v="27098"/>
    <n v="20"/>
    <n v="2014"/>
    <x v="1"/>
  </r>
  <r>
    <s v="Divergent / Insurgent"/>
    <s v="Veronica Roth"/>
    <n v="4.5"/>
    <n v="17684"/>
    <n v="20"/>
    <n v="2014"/>
    <x v="1"/>
  </r>
  <r>
    <s v="Divine Soul Mind Body Healing and Transmission System: The Divine Way to Heal You, Humanity, Mother Earth, and All…"/>
    <s v="Zhi Gang Sha"/>
    <n v="4.5999999999999996"/>
    <n v="37"/>
    <n v="20"/>
    <n v="2009"/>
    <x v="0"/>
  </r>
  <r>
    <s v="Doctor Sleep: A Novel"/>
    <s v="Stephen King"/>
    <n v="4.7"/>
    <n v="15845"/>
    <n v="20"/>
    <n v="2013"/>
    <x v="1"/>
  </r>
  <r>
    <s v="Dog Days (Diary of a Wimpy Kid, Book 4) (Volume 4)"/>
    <s v="Jeff Kinney"/>
    <n v="4.8"/>
    <n v="3181"/>
    <n v="20"/>
    <n v="2009"/>
    <x v="1"/>
  </r>
  <r>
    <s v="Dog Man and Cat Kid: From the Creator of Captain Underpants (Dog Man #4)"/>
    <s v="Dav Pilkey"/>
    <n v="4.9000000000000004"/>
    <n v="5062"/>
    <n v="20"/>
    <n v="2018"/>
    <x v="1"/>
  </r>
  <r>
    <s v="Dog Man: A Tale of Two Kitties: From the Creator of Captain Underpants (Dog Man #3)"/>
    <s v="Dav Pilkey"/>
    <n v="4.9000000000000004"/>
    <n v="4786"/>
    <n v="20"/>
    <n v="2017"/>
    <x v="1"/>
  </r>
  <r>
    <s v="Dog Man: Brawl of the Wild: From the Creator of Captain Underpants (Dog Man #6)"/>
    <s v="Dav Pilkey"/>
    <n v="4.9000000000000004"/>
    <n v="7235"/>
    <n v="20"/>
    <n v="2018"/>
    <x v="1"/>
  </r>
  <r>
    <s v="Dog Man: Brawl of the Wild: From the Creator of Captain Underpants (Dog Man #6)"/>
    <s v="Dav Pilkey"/>
    <n v="4.9000000000000004"/>
    <n v="7235"/>
    <n v="20"/>
    <n v="2019"/>
    <x v="1"/>
  </r>
  <r>
    <s v="Dog Man: Fetch-22: From the Creator of Captain Underpants (Dog Man #8)"/>
    <s v="Dav Pilkey"/>
    <n v="4.9000000000000004"/>
    <n v="12619"/>
    <n v="19"/>
    <n v="2019"/>
    <x v="1"/>
  </r>
  <r>
    <s v="Dog Man: For Whom the Ball Rolls: From the Creator of Captain Underpants (Dog Man #7)"/>
    <s v="Dav Pilkey"/>
    <n v="4.9000000000000004"/>
    <n v="9089"/>
    <n v="19"/>
    <n v="2019"/>
    <x v="1"/>
  </r>
  <r>
    <s v="Dog Man: Lord of the Fleas: From the Creator of Captain Underpants (Dog Man #5)"/>
    <s v="Dav Pilkey"/>
    <n v="4.9000000000000004"/>
    <n v="5470"/>
    <n v="19"/>
    <n v="2018"/>
    <x v="1"/>
  </r>
  <r>
    <s v="Double Down (Diary of a Wimpy Kid #11)"/>
    <s v="Jeff Kinney"/>
    <n v="4.8"/>
    <n v="5118"/>
    <n v="19"/>
    <n v="2016"/>
    <x v="1"/>
  </r>
  <r>
    <s v="Dover Creative Haven Art Nouveau Animal Designs Coloring Book (Creative Haven Coloring Books)"/>
    <s v="Marty Noble"/>
    <n v="4.5999999999999996"/>
    <n v="2134"/>
    <n v="18"/>
    <n v="2015"/>
    <x v="0"/>
  </r>
  <r>
    <s v="Drive: The Surprising Truth About What Motivates Us"/>
    <s v="Daniel H. Pink"/>
    <n v="4.5"/>
    <n v="2525"/>
    <n v="18"/>
    <n v="2010"/>
    <x v="0"/>
  </r>
  <r>
    <s v="Eat This Not That! Supermarket Survival Guide: The No-Diet Weight Loss Solution"/>
    <s v="David Zinczenko"/>
    <n v="4.5"/>
    <n v="720"/>
    <n v="18"/>
    <n v="2009"/>
    <x v="0"/>
  </r>
  <r>
    <s v="Eat This, Not That! Thousands of Simple Food Swaps that Can Save You 10, 20, 30 Pounds--or More!"/>
    <s v="David Zinczenko"/>
    <n v="4.3"/>
    <n v="956"/>
    <n v="18"/>
    <n v="2009"/>
    <x v="0"/>
  </r>
  <r>
    <s v="Eat to Live: The Amazing Nutrient-Rich Program for Fast and Sustained Weight Loss, Revised Edition"/>
    <s v="Joel Fuhrman MD"/>
    <n v="4.5"/>
    <n v="6346"/>
    <n v="18"/>
    <n v="2011"/>
    <x v="0"/>
  </r>
  <r>
    <s v="Eat to Live: The Amazing Nutrient-Rich Program for Fast and Sustained Weight Loss, Revised Edition"/>
    <s v="Joel Fuhrman MD"/>
    <n v="4.5"/>
    <n v="6346"/>
    <n v="18"/>
    <n v="2012"/>
    <x v="0"/>
  </r>
  <r>
    <s v="Eclipse (Twilight Sagas)"/>
    <s v="Stephenie Meyer"/>
    <n v="4.7"/>
    <n v="5505"/>
    <n v="18"/>
    <n v="2009"/>
    <x v="1"/>
  </r>
  <r>
    <s v="Eclipse (Twilight)"/>
    <s v="Stephenie Meyer"/>
    <n v="4.7"/>
    <n v="5505"/>
    <n v="18"/>
    <n v="2009"/>
    <x v="1"/>
  </r>
  <r>
    <s v="Educated: A Memoir"/>
    <s v="Tara Westover"/>
    <n v="4.7"/>
    <n v="28729"/>
    <n v="18"/>
    <n v="2018"/>
    <x v="0"/>
  </r>
  <r>
    <s v="Educated: A Memoir"/>
    <s v="Tara Westover"/>
    <n v="4.7"/>
    <n v="28729"/>
    <n v="18"/>
    <n v="2019"/>
    <x v="0"/>
  </r>
  <r>
    <s v="Enchanted Forest: An Inky Quest and Coloring book (Activity Books, Mindfulness and Meditation, Illustrated Floral Prints…"/>
    <s v="Johanna Basford"/>
    <n v="4.7"/>
    <n v="5413"/>
    <n v="18"/>
    <n v="2015"/>
    <x v="0"/>
  </r>
  <r>
    <s v="Fahrenheit 451"/>
    <s v="Ray Bradbury"/>
    <n v="4.5999999999999996"/>
    <n v="10721"/>
    <n v="18"/>
    <n v="2016"/>
    <x v="1"/>
  </r>
  <r>
    <s v="Fahrenheit 451"/>
    <s v="Ray Bradbury"/>
    <n v="4.5999999999999996"/>
    <n v="10721"/>
    <n v="18"/>
    <n v="2018"/>
    <x v="1"/>
  </r>
  <r>
    <s v="Fantastic Beasts and Where to Find Them: The Original Screenplay (Harry Potter)"/>
    <s v="J.K. Rowling"/>
    <n v="4.7"/>
    <n v="4370"/>
    <n v="18"/>
    <n v="2016"/>
    <x v="1"/>
  </r>
  <r>
    <s v="Fear: Trump in the White House"/>
    <s v="Bob Woodward"/>
    <n v="4.4000000000000004"/>
    <n v="6042"/>
    <n v="17"/>
    <n v="2018"/>
    <x v="0"/>
  </r>
  <r>
    <s v="Fifty Shades Darker"/>
    <s v="E L James"/>
    <n v="4.4000000000000004"/>
    <n v="23631"/>
    <n v="17"/>
    <n v="2012"/>
    <x v="1"/>
  </r>
  <r>
    <s v="Fifty Shades Freed: Book Three of the Fifty Shades Trilogy (Fifty Shades of Grey Series) (English Edition)"/>
    <s v="E L James"/>
    <n v="4.5"/>
    <n v="20262"/>
    <n v="17"/>
    <n v="2012"/>
    <x v="1"/>
  </r>
  <r>
    <s v="Fifty Shades of Grey: Book One of the Fifty Shades Trilogy (Fifty Shades of Grey Series)"/>
    <s v="E L James"/>
    <n v="3.8"/>
    <n v="47265"/>
    <n v="17"/>
    <n v="2012"/>
    <x v="1"/>
  </r>
  <r>
    <s v="Fifty Shades of Grey: Book One of the Fifty Shades Trilogy (Fifty Shades of Grey Series)"/>
    <s v="E L James"/>
    <n v="3.8"/>
    <n v="47265"/>
    <n v="17"/>
    <n v="2013"/>
    <x v="1"/>
  </r>
  <r>
    <s v="Fifty Shades Trilogy (Fifty Shades of Grey / Fifty Shades Darker / Fifty Shades Freed)"/>
    <s v="E L James"/>
    <n v="4.5"/>
    <n v="13964"/>
    <n v="17"/>
    <n v="2012"/>
    <x v="1"/>
  </r>
  <r>
    <s v="Fire and Fury: Inside the Trump White House"/>
    <s v="Michael Wolff"/>
    <n v="4.2"/>
    <n v="13677"/>
    <n v="17"/>
    <n v="2018"/>
    <x v="0"/>
  </r>
  <r>
    <s v="First 100 Words"/>
    <s v="Roger Priddy"/>
    <n v="4.7"/>
    <n v="17323"/>
    <n v="17"/>
    <n v="2014"/>
    <x v="0"/>
  </r>
  <r>
    <s v="First 100 Words"/>
    <s v="Roger Priddy"/>
    <n v="4.7"/>
    <n v="17323"/>
    <n v="17"/>
    <n v="2015"/>
    <x v="0"/>
  </r>
  <r>
    <s v="First 100 Words"/>
    <s v="Roger Priddy"/>
    <n v="4.7"/>
    <n v="17323"/>
    <n v="17"/>
    <n v="2016"/>
    <x v="0"/>
  </r>
  <r>
    <s v="First 100 Words"/>
    <s v="Roger Priddy"/>
    <n v="4.7"/>
    <n v="17323"/>
    <n v="17"/>
    <n v="2017"/>
    <x v="0"/>
  </r>
  <r>
    <s v="First 100 Words"/>
    <s v="Roger Priddy"/>
    <n v="4.7"/>
    <n v="17323"/>
    <n v="17"/>
    <n v="2018"/>
    <x v="0"/>
  </r>
  <r>
    <s v="Food Rules: An Eater's Manual"/>
    <s v="Michael Pollan"/>
    <n v="4.4000000000000004"/>
    <n v="1555"/>
    <n v="17"/>
    <n v="2010"/>
    <x v="0"/>
  </r>
  <r>
    <s v="Frozen (Little Golden Book)"/>
    <s v="RH Disney"/>
    <n v="4.7"/>
    <n v="3642"/>
    <n v="17"/>
    <n v="2014"/>
    <x v="1"/>
  </r>
  <r>
    <s v="Game Change: Obama and the Clintons, McCain and Palin, and the Race of a Lifetime"/>
    <s v="John Heilemann"/>
    <n v="4.4000000000000004"/>
    <n v="1215"/>
    <n v="17"/>
    <n v="2010"/>
    <x v="0"/>
  </r>
  <r>
    <s v="Game of Thrones Boxed Set: A Game of Thrones/A Clash of Kings/A Storm of Swords/A Feast for Crows"/>
    <s v="George R.R. Martin"/>
    <n v="4.5999999999999996"/>
    <n v="5594"/>
    <n v="17"/>
    <n v="2011"/>
    <x v="1"/>
  </r>
  <r>
    <s v="Game of Thrones Boxed Set: A Game of Thrones/A Clash of Kings/A Storm of Swords/A Feast for Crows"/>
    <s v="George R.R. Martin"/>
    <n v="4.5999999999999996"/>
    <n v="5594"/>
    <n v="17"/>
    <n v="2012"/>
    <x v="1"/>
  </r>
  <r>
    <s v="Game of Thrones Boxed Set: A Game of Thrones/A Clash of Kings/A Storm of Swords/A Feast for Crows"/>
    <s v="George R.R. Martin"/>
    <n v="4.5999999999999996"/>
    <n v="5594"/>
    <n v="17"/>
    <n v="2013"/>
    <x v="1"/>
  </r>
  <r>
    <s v="George Washington's Sacred Fire"/>
    <s v="Peter A. Lillback"/>
    <n v="4.5"/>
    <n v="408"/>
    <n v="17"/>
    <n v="2010"/>
    <x v="0"/>
  </r>
  <r>
    <s v="George Washington's Secret Six: The Spy Ring That Saved the American Revolution"/>
    <s v="Brian Kilmeade"/>
    <n v="4.5999999999999996"/>
    <n v="4799"/>
    <n v="16"/>
    <n v="2013"/>
    <x v="0"/>
  </r>
  <r>
    <s v="Giraffes Can't Dance"/>
    <s v="Giles Andreae"/>
    <n v="4.8"/>
    <n v="14038"/>
    <n v="16"/>
    <n v="2015"/>
    <x v="1"/>
  </r>
  <r>
    <s v="Giraffes Can't Dance"/>
    <s v="Giles Andreae"/>
    <n v="4.8"/>
    <n v="14038"/>
    <n v="16"/>
    <n v="2016"/>
    <x v="1"/>
  </r>
  <r>
    <s v="Giraffes Can't Dance"/>
    <s v="Giles Andreae"/>
    <n v="4.8"/>
    <n v="14038"/>
    <n v="16"/>
    <n v="2017"/>
    <x v="1"/>
  </r>
  <r>
    <s v="Giraffes Can't Dance"/>
    <s v="Giles Andreae"/>
    <n v="4.8"/>
    <n v="14038"/>
    <n v="16"/>
    <n v="2018"/>
    <x v="1"/>
  </r>
  <r>
    <s v="Giraffes Can't Dance"/>
    <s v="Giles Andreae"/>
    <n v="4.8"/>
    <n v="14038"/>
    <n v="16"/>
    <n v="2019"/>
    <x v="1"/>
  </r>
  <r>
    <s v="Girl, Stop Apologizing: A Shame-Free Plan for Embracing and Achieving Your Goals"/>
    <s v="Rachel Hollis"/>
    <n v="4.5999999999999996"/>
    <n v="7660"/>
    <n v="16"/>
    <n v="2019"/>
    <x v="0"/>
  </r>
  <r>
    <s v="Girl, Wash Your Face: Stop Believing the Lies About Who You Are So You Can Become Who You Were Meant to Be"/>
    <s v="Rachel Hollis"/>
    <n v="4.5999999999999996"/>
    <n v="22288"/>
    <n v="16"/>
    <n v="2018"/>
    <x v="0"/>
  </r>
  <r>
    <s v="Girl, Wash Your Face: Stop Believing the Lies About Who You Are So You Can Become Who You Were Meant to Be"/>
    <s v="Rachel Hollis"/>
    <n v="4.5999999999999996"/>
    <n v="22288"/>
    <n v="16"/>
    <n v="2019"/>
    <x v="0"/>
  </r>
  <r>
    <s v="Glenn Beck's Common Sense: The Case Against an Out-of-Control Government, Inspired by Thomas Paine"/>
    <s v="Glenn Beck"/>
    <n v="4.5999999999999996"/>
    <n v="1365"/>
    <n v="16"/>
    <n v="2009"/>
    <x v="0"/>
  </r>
  <r>
    <s v="Go Set a Watchman: A Novel"/>
    <s v="Harper Lee"/>
    <n v="3.6"/>
    <n v="14982"/>
    <n v="16"/>
    <n v="2015"/>
    <x v="1"/>
  </r>
  <r>
    <s v="Go the F**k to Sleep"/>
    <s v="Adam Mansbach"/>
    <n v="4.8"/>
    <n v="9568"/>
    <n v="16"/>
    <n v="2011"/>
    <x v="1"/>
  </r>
  <r>
    <s v="Going Rogue: An American Life"/>
    <s v="Sarah Palin"/>
    <n v="4.5999999999999996"/>
    <n v="1636"/>
    <n v="16"/>
    <n v="2009"/>
    <x v="0"/>
  </r>
  <r>
    <s v="Gone Girl"/>
    <s v="Gillian Flynn"/>
    <n v="4"/>
    <n v="57271"/>
    <n v="16"/>
    <n v="2012"/>
    <x v="1"/>
  </r>
  <r>
    <s v="Gone Girl"/>
    <s v="Gillian Flynn"/>
    <n v="4"/>
    <n v="57271"/>
    <n v="16"/>
    <n v="2013"/>
    <x v="1"/>
  </r>
  <r>
    <s v="Gone Girl"/>
    <s v="Gillian Flynn"/>
    <n v="4"/>
    <n v="57271"/>
    <n v="16"/>
    <n v="2014"/>
    <x v="1"/>
  </r>
  <r>
    <s v="Good Days Start With Gratitude: A 52 Week Guide To Cultivate An Attitude Of Gratitude: Gratitude Journal"/>
    <s v="Pretty Simple Press"/>
    <n v="4.5999999999999996"/>
    <n v="10141"/>
    <n v="16"/>
    <n v="2019"/>
    <x v="0"/>
  </r>
  <r>
    <s v="Good to Great: Why Some Companies Make the Leap and Others Don't"/>
    <s v="Jim Collins"/>
    <n v="4.5"/>
    <n v="3457"/>
    <n v="16"/>
    <n v="2009"/>
    <x v="0"/>
  </r>
  <r>
    <s v="Good to Great: Why Some Companies Make the Leap and Others Don't"/>
    <s v="Jim Collins"/>
    <n v="4.5"/>
    <n v="3457"/>
    <n v="16"/>
    <n v="2010"/>
    <x v="0"/>
  </r>
  <r>
    <s v="Good to Great: Why Some Companies Make the Leap and Others Don't"/>
    <s v="Jim Collins"/>
    <n v="4.5"/>
    <n v="3457"/>
    <n v="16"/>
    <n v="2011"/>
    <x v="0"/>
  </r>
  <r>
    <s v="Good to Great: Why Some Companies Make the Leap and Others Don't"/>
    <s v="Jim Collins"/>
    <n v="4.5"/>
    <n v="3457"/>
    <n v="15"/>
    <n v="2012"/>
    <x v="0"/>
  </r>
  <r>
    <s v="Goodnight Moon"/>
    <s v="Margaret Wise Brown"/>
    <n v="4.8"/>
    <n v="8837"/>
    <n v="15"/>
    <n v="2017"/>
    <x v="1"/>
  </r>
  <r>
    <s v="Goodnight Moon"/>
    <s v="Margaret Wise Brown"/>
    <n v="4.8"/>
    <n v="8837"/>
    <n v="15"/>
    <n v="2018"/>
    <x v="1"/>
  </r>
  <r>
    <s v="Goodnight Moon"/>
    <s v="Margaret Wise Brown"/>
    <n v="4.8"/>
    <n v="8837"/>
    <n v="15"/>
    <n v="2019"/>
    <x v="1"/>
  </r>
  <r>
    <s v="Goodnight, Goodnight Construction Site (Hardcover Books for Toddlers, Preschool Books for Kids)"/>
    <s v="Sherri Duskey Rinker"/>
    <n v="4.9000000000000004"/>
    <n v="7038"/>
    <n v="15"/>
    <n v="2012"/>
    <x v="1"/>
  </r>
  <r>
    <s v="Goodnight, Goodnight Construction Site (Hardcover Books for Toddlers, Preschool Books for Kids)"/>
    <s v="Sherri Duskey Rinker"/>
    <n v="4.9000000000000004"/>
    <n v="7038"/>
    <n v="15"/>
    <n v="2013"/>
    <x v="1"/>
  </r>
  <r>
    <s v="Grain Brain: The Surprising Truth about Wheat, Carbs, and Sugar--Your Brain's Silent Killers"/>
    <s v="David Perlmutter MD"/>
    <n v="4.5999999999999996"/>
    <n v="5972"/>
    <n v="15"/>
    <n v="2014"/>
    <x v="0"/>
  </r>
  <r>
    <s v="Grey: Fifty Shades of Grey as Told by Christian (Fifty Shades of Grey Series)"/>
    <s v="E L James"/>
    <n v="4.4000000000000004"/>
    <n v="25624"/>
    <n v="15"/>
    <n v="2015"/>
    <x v="1"/>
  </r>
  <r>
    <s v="Guts"/>
    <s v="Raina Telgemeier"/>
    <n v="4.8"/>
    <n v="5476"/>
    <n v="15"/>
    <n v="2019"/>
    <x v="0"/>
  </r>
  <r>
    <s v="Hamilton: The Revolution"/>
    <s v="Lin-Manuel Miranda"/>
    <n v="4.9000000000000004"/>
    <n v="5867"/>
    <n v="15"/>
    <n v="2016"/>
    <x v="0"/>
  </r>
  <r>
    <s v="Happy, Happy, Happy: My Life and Legacy as the Duck Commander"/>
    <s v="Phil Robertson"/>
    <n v="4.8"/>
    <n v="4148"/>
    <n v="15"/>
    <n v="2013"/>
    <x v="0"/>
  </r>
  <r>
    <s v="Harry Potter and the Chamber of Secrets: The Illustrated Edition (Harry Potter, Book 2)"/>
    <s v="J.K. Rowling"/>
    <n v="4.9000000000000004"/>
    <n v="19622"/>
    <n v="15"/>
    <n v="2016"/>
    <x v="1"/>
  </r>
  <r>
    <s v="Harry Potter and the Cursed Child, Parts 1 &amp; 2, Special Rehearsal Edition Script"/>
    <s v="J.K. Rowling"/>
    <n v="4"/>
    <n v="23973"/>
    <n v="15"/>
    <n v="2016"/>
    <x v="1"/>
  </r>
  <r>
    <s v="Harry Potter and the Goblet of Fire: The Illustrated Edition (Harry Potter, Book 4) (4)"/>
    <s v="J. K. Rowling"/>
    <n v="4.9000000000000004"/>
    <n v="7758"/>
    <n v="15"/>
    <n v="2019"/>
    <x v="1"/>
  </r>
  <r>
    <s v="Harry Potter and the Prisoner of Azkaban: The Illustrated Edition (Harry Potter, Book 3)"/>
    <s v="J.K. Rowling"/>
    <n v="4.9000000000000004"/>
    <n v="3146"/>
    <n v="15"/>
    <n v="2017"/>
    <x v="1"/>
  </r>
  <r>
    <s v="Harry Potter and the Sorcerer's Stone: The Illustrated Edition (Harry Potter, Book 1)"/>
    <s v="J.K. Rowling"/>
    <n v="4.9000000000000004"/>
    <n v="10052"/>
    <n v="15"/>
    <n v="2016"/>
    <x v="1"/>
  </r>
  <r>
    <s v="Harry Potter Coloring Book"/>
    <s v="Scholastic"/>
    <n v="4.7"/>
    <n v="3564"/>
    <n v="15"/>
    <n v="2015"/>
    <x v="0"/>
  </r>
  <r>
    <s v="Harry Potter Paperback Box Set (Books 1-7)"/>
    <s v="J. K. Rowling"/>
    <n v="4.8"/>
    <n v="13471"/>
    <n v="15"/>
    <n v="2016"/>
    <x v="1"/>
  </r>
  <r>
    <s v="Have a Little Faith: A True Story"/>
    <s v="Mitch Albom"/>
    <n v="4.8"/>
    <n v="1930"/>
    <n v="15"/>
    <n v="2009"/>
    <x v="0"/>
  </r>
  <r>
    <s v="Heaven is for Real: A Little Boy's Astounding Story of His Trip to Heaven and Back"/>
    <s v="Todd Burpo"/>
    <n v="4.7"/>
    <n v="15779"/>
    <n v="15"/>
    <n v="2011"/>
    <x v="0"/>
  </r>
  <r>
    <s v="Heaven is for Real: A Little Boy's Astounding Story of His Trip to Heaven and Back"/>
    <s v="Todd Burpo"/>
    <n v="4.7"/>
    <n v="15779"/>
    <n v="15"/>
    <n v="2012"/>
    <x v="0"/>
  </r>
  <r>
    <s v="Hillbilly Elegy: A Memoir of a Family and Culture in Crisis"/>
    <s v="J. D. Vance"/>
    <n v="4.4000000000000004"/>
    <n v="15526"/>
    <n v="14"/>
    <n v="2016"/>
    <x v="0"/>
  </r>
  <r>
    <s v="Hillbilly Elegy: A Memoir of a Family and Culture in Crisis"/>
    <s v="J. D. Vance"/>
    <n v="4.4000000000000004"/>
    <n v="15526"/>
    <n v="14"/>
    <n v="2017"/>
    <x v="0"/>
  </r>
  <r>
    <s v="Homebody: A Guide to Creating Spaces You Never Want to Leave"/>
    <s v="Joanna Gaines"/>
    <n v="4.8"/>
    <n v="3776"/>
    <n v="14"/>
    <n v="2018"/>
    <x v="0"/>
  </r>
  <r>
    <s v="How to Win Friends &amp; Influence People"/>
    <s v="Dale Carnegie"/>
    <n v="4.7"/>
    <n v="25001"/>
    <n v="14"/>
    <n v="2014"/>
    <x v="0"/>
  </r>
  <r>
    <s v="How to Win Friends &amp; Influence People"/>
    <s v="Dale Carnegie"/>
    <n v="4.7"/>
    <n v="25001"/>
    <n v="14"/>
    <n v="2015"/>
    <x v="0"/>
  </r>
  <r>
    <s v="How to Win Friends &amp; Influence People"/>
    <s v="Dale Carnegie"/>
    <n v="4.7"/>
    <n v="25001"/>
    <n v="14"/>
    <n v="2016"/>
    <x v="0"/>
  </r>
  <r>
    <s v="How to Win Friends &amp; Influence People"/>
    <s v="Dale Carnegie"/>
    <n v="4.7"/>
    <n v="25001"/>
    <n v="14"/>
    <n v="2017"/>
    <x v="0"/>
  </r>
  <r>
    <s v="How to Win Friends &amp; Influence People"/>
    <s v="Dale Carnegie"/>
    <n v="4.7"/>
    <n v="25001"/>
    <n v="14"/>
    <n v="2018"/>
    <x v="0"/>
  </r>
  <r>
    <s v="Howard Stern Comes Again"/>
    <s v="Howard Stern"/>
    <n v="4.3"/>
    <n v="5272"/>
    <n v="14"/>
    <n v="2019"/>
    <x v="0"/>
  </r>
  <r>
    <s v="Humans of New York"/>
    <s v="Brandon Stanton"/>
    <n v="4.8"/>
    <n v="3490"/>
    <n v="14"/>
    <n v="2013"/>
    <x v="0"/>
  </r>
  <r>
    <s v="Humans of New York"/>
    <s v="Brandon Stanton"/>
    <n v="4.8"/>
    <n v="3490"/>
    <n v="14"/>
    <n v="2014"/>
    <x v="0"/>
  </r>
  <r>
    <s v="Humans of New York : Stories"/>
    <s v="Brandon Stanton"/>
    <n v="4.9000000000000004"/>
    <n v="2812"/>
    <n v="14"/>
    <n v="2015"/>
    <x v="0"/>
  </r>
  <r>
    <s v="Hyperbole and a Half: Unfortunate Situations, Flawed Coping Mechanisms, Mayhem, and Other Things That Happened"/>
    <s v="Allie Brosh"/>
    <n v="4.7"/>
    <n v="4896"/>
    <n v="14"/>
    <n v="2013"/>
    <x v="0"/>
  </r>
  <r>
    <s v="I Am Confident, Brave &amp; Beautiful: A Coloring Book for Girls"/>
    <s v="Hopscotch Girls"/>
    <n v="4.8"/>
    <n v="9737"/>
    <n v="14"/>
    <n v="2019"/>
    <x v="0"/>
  </r>
  <r>
    <s v="I, Alex Cross"/>
    <s v="James Patterson"/>
    <n v="4.5999999999999996"/>
    <n v="1320"/>
    <n v="14"/>
    <n v="2009"/>
    <x v="1"/>
  </r>
  <r>
    <s v="If Animals Kissed Good Night"/>
    <s v="Ann Whitford Paul"/>
    <n v="4.8"/>
    <n v="16643"/>
    <n v="14"/>
    <n v="2017"/>
    <x v="1"/>
  </r>
  <r>
    <s v="If Animals Kissed Good Night"/>
    <s v="Ann Whitford Paul"/>
    <n v="4.8"/>
    <n v="16643"/>
    <n v="14"/>
    <n v="2019"/>
    <x v="1"/>
  </r>
  <r>
    <s v="If I Stay"/>
    <s v="Gayle Forman"/>
    <n v="4.3"/>
    <n v="7153"/>
    <n v="14"/>
    <n v="2014"/>
    <x v="1"/>
  </r>
  <r>
    <s v="In the Garden of Beasts: Love, Terror, and an American Family in Hitler's Berlin"/>
    <s v="Eric Larson"/>
    <n v="4.4000000000000004"/>
    <n v="4571"/>
    <n v="14"/>
    <n v="2011"/>
    <x v="0"/>
  </r>
  <r>
    <s v="Inferno"/>
    <s v="Dan Brown"/>
    <n v="4.0999999999999996"/>
    <n v="29651"/>
    <n v="14"/>
    <n v="2013"/>
    <x v="1"/>
  </r>
  <r>
    <s v="Inheritance: Book IV (Inheritance Cycle)"/>
    <s v="Christopher Paolini"/>
    <n v="4.5999999999999996"/>
    <n v="5299"/>
    <n v="14"/>
    <n v="2011"/>
    <x v="1"/>
  </r>
  <r>
    <s v="Instant Pot Pressure Cooker Cookbook: 500 Everyday Recipes for Beginners and Advanced Users. Try Easy and Healthy…"/>
    <s v="Jennifer Smith"/>
    <n v="4.4000000000000004"/>
    <n v="7396"/>
    <n v="14"/>
    <n v="2019"/>
    <x v="0"/>
  </r>
  <r>
    <s v="Instant Pot Pressure Cooker Cookbook: 500 Everyday Recipes for Beginners and Advanced Users. Try Easy and Healthy…"/>
    <s v="Jennifer Smith"/>
    <n v="4.4000000000000004"/>
    <n v="7396"/>
    <n v="14"/>
    <n v="2018"/>
    <x v="0"/>
  </r>
  <r>
    <s v="It's Not Supposed to Be This Way: Finding Unexpected Strength When Disappointments Leave You Shattered"/>
    <s v="Lysa TerKeurst"/>
    <n v="4.8"/>
    <n v="7062"/>
    <n v="14"/>
    <n v="2019"/>
    <x v="0"/>
  </r>
  <r>
    <s v="Jesus Calling: Enjoying Peace in His Presence (with Scripture References)"/>
    <s v="Sarah Young"/>
    <n v="4.9000000000000004"/>
    <n v="19576"/>
    <n v="14"/>
    <n v="2011"/>
    <x v="0"/>
  </r>
  <r>
    <s v="Jesus Calling: Enjoying Peace in His Presence (with Scripture References)"/>
    <s v="Sarah Young"/>
    <n v="4.9000000000000004"/>
    <n v="19576"/>
    <n v="14"/>
    <n v="2012"/>
    <x v="0"/>
  </r>
  <r>
    <s v="Jesus Calling: Enjoying Peace in His Presence (with Scripture References)"/>
    <s v="Sarah Young"/>
    <n v="4.9000000000000004"/>
    <n v="19576"/>
    <n v="14"/>
    <n v="2013"/>
    <x v="0"/>
  </r>
  <r>
    <s v="Jesus Calling: Enjoying Peace in His Presence (with Scripture References)"/>
    <s v="Sarah Young"/>
    <n v="4.9000000000000004"/>
    <n v="19576"/>
    <n v="14"/>
    <n v="2014"/>
    <x v="0"/>
  </r>
  <r>
    <s v="Jesus Calling: Enjoying Peace in His Presence (with Scripture References)"/>
    <s v="Sarah Young"/>
    <n v="4.9000000000000004"/>
    <n v="19576"/>
    <n v="14"/>
    <n v="2015"/>
    <x v="0"/>
  </r>
  <r>
    <s v="Jesus Calling: Enjoying Peace in His Presence (with Scripture References)"/>
    <s v="Sarah Young"/>
    <n v="4.9000000000000004"/>
    <n v="19576"/>
    <n v="14"/>
    <n v="2016"/>
    <x v="0"/>
  </r>
  <r>
    <s v="JOURNEY TO THE ICE P"/>
    <s v="RH Disney"/>
    <n v="4.5999999999999996"/>
    <n v="978"/>
    <n v="13"/>
    <n v="2014"/>
    <x v="1"/>
  </r>
  <r>
    <s v="Joyland (Hard Case Crime)"/>
    <s v="Stephen King"/>
    <n v="4.5"/>
    <n v="4748"/>
    <n v="13"/>
    <n v="2013"/>
    <x v="1"/>
  </r>
  <r>
    <s v="Killers of the Flower Moon: The Osage Murders and the Birth of the FBI"/>
    <s v="David Grann"/>
    <n v="4.5999999999999996"/>
    <n v="8393"/>
    <n v="13"/>
    <n v="2017"/>
    <x v="0"/>
  </r>
  <r>
    <s v="Killing Jesus (Bill O'Reilly's Killing Series)"/>
    <s v="Bill O'Reilly"/>
    <n v="4.5"/>
    <n v="11391"/>
    <n v="13"/>
    <n v="2013"/>
    <x v="0"/>
  </r>
  <r>
    <s v="Killing Kennedy: The End of Camelot"/>
    <s v="Bill O'Reilly"/>
    <n v="4.5999999999999996"/>
    <n v="8634"/>
    <n v="13"/>
    <n v="2012"/>
    <x v="0"/>
  </r>
  <r>
    <s v="Killing Lincoln: The Shocking Assassination that Changed America Forever (Bill O'Reilly's Killing Series)"/>
    <s v="Bill O'Reilly"/>
    <n v="4.7"/>
    <n v="9342"/>
    <n v="13"/>
    <n v="2011"/>
    <x v="0"/>
  </r>
  <r>
    <s v="Killing Lincoln: The Shocking Assassination that Changed America Forever (Bill O'Reilly's Killing Series)"/>
    <s v="Bill O'Reilly"/>
    <n v="4.7"/>
    <n v="9342"/>
    <n v="13"/>
    <n v="2012"/>
    <x v="0"/>
  </r>
  <r>
    <s v="Killing Patton: The Strange Death of World War II's Most Audacious General (Bill O'Reilly's Killing Series)"/>
    <s v="Bill O'Reilly"/>
    <n v="4.5999999999999996"/>
    <n v="10927"/>
    <n v="13"/>
    <n v="2014"/>
    <x v="0"/>
  </r>
  <r>
    <s v="Killing Reagan: The Violent Assault That Changed a Presidency (Bill O'Reilly's Killing Series)"/>
    <s v="Bill O'Reilly"/>
    <n v="4.5999999999999996"/>
    <n v="5235"/>
    <n v="13"/>
    <n v="2015"/>
    <x v="0"/>
  </r>
  <r>
    <s v="Killing the Rising Sun: How America Vanquished World War II Japan (Bill O'Reilly's Killing Series)"/>
    <s v="Bill O'Reilly"/>
    <n v="4.8"/>
    <n v="8916"/>
    <n v="13"/>
    <n v="2016"/>
    <x v="0"/>
  </r>
  <r>
    <s v="Kitchen Confidential Updated Edition: Adventures in the Culinary Underbelly (P.S.)"/>
    <s v="Anthony Bourdain"/>
    <n v="4.8"/>
    <n v="2507"/>
    <n v="13"/>
    <n v="2018"/>
    <x v="0"/>
  </r>
  <r>
    <s v="Knock-Knock Jokes for Kids"/>
    <s v="Rob Elliott"/>
    <n v="4.5"/>
    <n v="3673"/>
    <n v="13"/>
    <n v="2013"/>
    <x v="0"/>
  </r>
  <r>
    <s v="Knock-Knock Jokes for Kids"/>
    <s v="Rob Elliott"/>
    <n v="4.5"/>
    <n v="3673"/>
    <n v="13"/>
    <n v="2014"/>
    <x v="0"/>
  </r>
  <r>
    <s v="Knock-Knock Jokes for Kids"/>
    <s v="Rob Elliott"/>
    <n v="4.5"/>
    <n v="3673"/>
    <n v="13"/>
    <n v="2015"/>
    <x v="0"/>
  </r>
  <r>
    <s v="Last Week Tonight with John Oliver Presents A Day in the Life of Marlon Bundo (Better Bundo Book, LGBT Childrens Book)"/>
    <s v="Jill Twiss"/>
    <n v="4.9000000000000004"/>
    <n v="11881"/>
    <n v="13"/>
    <n v="2018"/>
    <x v="1"/>
  </r>
  <r>
    <s v="Laugh-Out-Loud Jokes for Kids"/>
    <s v="Rob Elliott"/>
    <n v="4.5999999999999996"/>
    <n v="6990"/>
    <n v="13"/>
    <n v="2013"/>
    <x v="0"/>
  </r>
  <r>
    <s v="Laugh-Out-Loud Jokes for Kids"/>
    <s v="Rob Elliott"/>
    <n v="4.5999999999999996"/>
    <n v="6990"/>
    <n v="13"/>
    <n v="2014"/>
    <x v="0"/>
  </r>
  <r>
    <s v="Laugh-Out-Loud Jokes for Kids"/>
    <s v="Rob Elliott"/>
    <n v="4.5999999999999996"/>
    <n v="6990"/>
    <n v="13"/>
    <n v="2015"/>
    <x v="0"/>
  </r>
  <r>
    <s v="Laugh-Out-Loud Jokes for Kids"/>
    <s v="Rob Elliott"/>
    <n v="4.5999999999999996"/>
    <n v="6990"/>
    <n v="13"/>
    <n v="2016"/>
    <x v="0"/>
  </r>
  <r>
    <s v="Laugh-Out-Loud Jokes for Kids"/>
    <s v="Rob Elliott"/>
    <n v="4.5999999999999996"/>
    <n v="6990"/>
    <n v="13"/>
    <n v="2017"/>
    <x v="0"/>
  </r>
  <r>
    <s v="Lean In: Women, Work, and the Will to Lead"/>
    <s v="Sheryl Sandberg"/>
    <n v="4.5"/>
    <n v="6132"/>
    <n v="13"/>
    <n v="2013"/>
    <x v="0"/>
  </r>
  <r>
    <s v="Leonardo da Vinci"/>
    <s v="Walter Isaacson"/>
    <n v="4.5"/>
    <n v="3014"/>
    <n v="13"/>
    <n v="2017"/>
    <x v="0"/>
  </r>
  <r>
    <s v="Lettering and Modern Calligraphy: A Beginner's Guide: Learn Hand Lettering and Brush Lettering"/>
    <s v="Paper Peony Press"/>
    <n v="4.4000000000000004"/>
    <n v="7550"/>
    <n v="13"/>
    <n v="2018"/>
    <x v="0"/>
  </r>
  <r>
    <s v="Liberty and Tyranny: A Conservative Manifesto"/>
    <s v="Mark R. Levin"/>
    <n v="4.8"/>
    <n v="3828"/>
    <n v="13"/>
    <n v="2009"/>
    <x v="0"/>
  </r>
  <r>
    <s v="Life"/>
    <s v="Keith Richards"/>
    <n v="4.5"/>
    <n v="2752"/>
    <n v="13"/>
    <n v="2010"/>
    <x v="0"/>
  </r>
  <r>
    <s v="Little Bee: A Novel"/>
    <s v="Chris Cleave"/>
    <n v="4.0999999999999996"/>
    <n v="1467"/>
    <n v="13"/>
    <n v="2010"/>
    <x v="1"/>
  </r>
  <r>
    <s v="Little Blue Truck"/>
    <s v="Alice Schertle"/>
    <n v="4.9000000000000004"/>
    <n v="1884"/>
    <n v="13"/>
    <n v="2014"/>
    <x v="1"/>
  </r>
  <r>
    <s v="Little Fires Everywhere"/>
    <s v="Celeste Ng"/>
    <n v="4.5"/>
    <n v="25706"/>
    <n v="13"/>
    <n v="2018"/>
    <x v="1"/>
  </r>
  <r>
    <s v="Looking for Alaska"/>
    <s v="John Green"/>
    <n v="4.5"/>
    <n v="8491"/>
    <n v="13"/>
    <n v="2014"/>
    <x v="1"/>
  </r>
  <r>
    <s v="Love Wins: A Book About Heaven, Hell, and the Fate of Every Person Who Ever Lived"/>
    <s v="Rob Bell"/>
    <n v="4.2"/>
    <n v="1649"/>
    <n v="12"/>
    <n v="2011"/>
    <x v="0"/>
  </r>
  <r>
    <s v="Love You Forever"/>
    <s v="Robert Munsch"/>
    <n v="4.8"/>
    <n v="18613"/>
    <n v="12"/>
    <n v="2014"/>
    <x v="1"/>
  </r>
  <r>
    <s v="Love You Forever"/>
    <s v="Robert Munsch"/>
    <n v="4.8"/>
    <n v="18613"/>
    <n v="12"/>
    <n v="2015"/>
    <x v="1"/>
  </r>
  <r>
    <s v="Magnolia Table: A Collection of Recipes for Gathering"/>
    <s v="Joanna Gaines"/>
    <n v="4.8"/>
    <n v="9867"/>
    <n v="12"/>
    <n v="2018"/>
    <x v="0"/>
  </r>
  <r>
    <s v="Make It Ahead: A Barefoot Contessa Cookbook"/>
    <s v="Ina Garten"/>
    <n v="4.5"/>
    <n v="1386"/>
    <n v="12"/>
    <n v="2014"/>
    <x v="0"/>
  </r>
  <r>
    <s v="Make Your Bed: Little Things That Can Change Your Life...And Maybe the World"/>
    <s v="Admiral William H. McRaven"/>
    <n v="4.7"/>
    <n v="10199"/>
    <n v="12"/>
    <n v="2017"/>
    <x v="0"/>
  </r>
  <r>
    <s v="Mastering the Art of French Cooking, Vol. 2"/>
    <s v="Julia Child"/>
    <n v="4.8"/>
    <n v="2926"/>
    <n v="12"/>
    <n v="2009"/>
    <x v="0"/>
  </r>
  <r>
    <s v="Milk and Honey"/>
    <s v="Rupi Kaur"/>
    <n v="4.7"/>
    <n v="17739"/>
    <n v="12"/>
    <n v="2016"/>
    <x v="0"/>
  </r>
  <r>
    <s v="Milk and Honey"/>
    <s v="Rupi Kaur"/>
    <n v="4.7"/>
    <n v="17739"/>
    <n v="12"/>
    <n v="2017"/>
    <x v="0"/>
  </r>
  <r>
    <s v="Milk and Honey"/>
    <s v="Rupi Kaur"/>
    <n v="4.7"/>
    <n v="17739"/>
    <n v="12"/>
    <n v="2018"/>
    <x v="0"/>
  </r>
  <r>
    <s v="Milk and Vine: Inspirational Quotes From Classic Vines"/>
    <s v="Adam Gasiewski"/>
    <n v="4.4000000000000004"/>
    <n v="3113"/>
    <n v="12"/>
    <n v="2017"/>
    <x v="0"/>
  </r>
  <r>
    <s v="Mindset: The New Psychology of Success"/>
    <s v="Carol S. Dweck"/>
    <n v="4.5999999999999996"/>
    <n v="5542"/>
    <n v="12"/>
    <n v="2014"/>
    <x v="0"/>
  </r>
  <r>
    <s v="Mindset: The New Psychology of Success"/>
    <s v="Carol S. Dweck"/>
    <n v="4.5999999999999996"/>
    <n v="5542"/>
    <n v="12"/>
    <n v="2015"/>
    <x v="0"/>
  </r>
  <r>
    <s v="Mindset: The New Psychology of Success"/>
    <s v="Carol S. Dweck"/>
    <n v="4.5999999999999996"/>
    <n v="5542"/>
    <n v="12"/>
    <n v="2016"/>
    <x v="0"/>
  </r>
  <r>
    <s v="Mockingjay (The Hunger Games)"/>
    <s v="Suzanne Collins"/>
    <n v="4.5"/>
    <n v="26741"/>
    <n v="12"/>
    <n v="2010"/>
    <x v="1"/>
  </r>
  <r>
    <s v="Mockingjay (The Hunger Games)"/>
    <s v="Suzanne Collins"/>
    <n v="4.5"/>
    <n v="26741"/>
    <n v="12"/>
    <n v="2011"/>
    <x v="1"/>
  </r>
  <r>
    <s v="Mockingjay (The Hunger Games)"/>
    <s v="Suzanne Collins"/>
    <n v="4.5"/>
    <n v="26741"/>
    <n v="12"/>
    <n v="2012"/>
    <x v="1"/>
  </r>
  <r>
    <s v="National Geographic Kids Why?: Over 1,111 Answers to Everything"/>
    <s v="Crispin Boyer"/>
    <n v="4.8"/>
    <n v="5347"/>
    <n v="12"/>
    <n v="2019"/>
    <x v="0"/>
  </r>
  <r>
    <s v="National Geographic Little Kids First Big Book of Why (National Geographic Little Kids First Big Books)"/>
    <s v="Amy Shields"/>
    <n v="4.8"/>
    <n v="7866"/>
    <n v="12"/>
    <n v="2019"/>
    <x v="0"/>
  </r>
  <r>
    <s v="New Moon (The Twilight Saga)"/>
    <s v="Stephenie Meyer"/>
    <n v="4.5999999999999996"/>
    <n v="5680"/>
    <n v="12"/>
    <n v="2009"/>
    <x v="1"/>
  </r>
  <r>
    <s v="Night (Night)"/>
    <s v="Elie Wiesel"/>
    <n v="4.7"/>
    <n v="5178"/>
    <n v="12"/>
    <n v="2016"/>
    <x v="0"/>
  </r>
  <r>
    <s v="No Easy Day: The Autobiography of a Navy Seal: The Firsthand Account of the Mission That Killed Osama Bin Laden"/>
    <s v="Mark Owen"/>
    <n v="4.5999999999999996"/>
    <n v="8093"/>
    <n v="12"/>
    <n v="2012"/>
    <x v="0"/>
  </r>
  <r>
    <s v="Obama: An Intimate Portrait"/>
    <s v="Pete Souza"/>
    <n v="4.9000000000000004"/>
    <n v="3192"/>
    <n v="12"/>
    <n v="2017"/>
    <x v="0"/>
  </r>
  <r>
    <s v="Oh, the Places You'll Go!"/>
    <s v="Dr. Seuss"/>
    <n v="4.9000000000000004"/>
    <n v="21834"/>
    <n v="12"/>
    <n v="2012"/>
    <x v="1"/>
  </r>
  <r>
    <s v="Oh, the Places You'll Go!"/>
    <s v="Dr. Seuss"/>
    <n v="4.9000000000000004"/>
    <n v="21834"/>
    <n v="12"/>
    <n v="2013"/>
    <x v="1"/>
  </r>
  <r>
    <s v="Oh, the Places You'll Go!"/>
    <s v="Dr. Seuss"/>
    <n v="4.9000000000000004"/>
    <n v="21834"/>
    <n v="12"/>
    <n v="2014"/>
    <x v="1"/>
  </r>
  <r>
    <s v="Oh, the Places You'll Go!"/>
    <s v="Dr. Seuss"/>
    <n v="4.9000000000000004"/>
    <n v="21834"/>
    <n v="12"/>
    <n v="2015"/>
    <x v="1"/>
  </r>
  <r>
    <s v="Oh, the Places You'll Go!"/>
    <s v="Dr. Seuss"/>
    <n v="4.9000000000000004"/>
    <n v="21834"/>
    <n v="11"/>
    <n v="2016"/>
    <x v="1"/>
  </r>
  <r>
    <s v="Oh, the Places You'll Go!"/>
    <s v="Dr. Seuss"/>
    <n v="4.9000000000000004"/>
    <n v="21834"/>
    <n v="11"/>
    <n v="2017"/>
    <x v="1"/>
  </r>
  <r>
    <s v="Oh, the Places You'll Go!"/>
    <s v="Dr. Seuss"/>
    <n v="4.9000000000000004"/>
    <n v="21834"/>
    <n v="11"/>
    <n v="2018"/>
    <x v="1"/>
  </r>
  <r>
    <s v="Oh, the Places You'll Go!"/>
    <s v="Dr. Seuss"/>
    <n v="4.9000000000000004"/>
    <n v="21834"/>
    <n v="11"/>
    <n v="2019"/>
    <x v="1"/>
  </r>
  <r>
    <s v="Old School (Diary of a Wimpy Kid #10)"/>
    <s v="Jeff Kinney"/>
    <n v="4.8"/>
    <n v="6169"/>
    <n v="11"/>
    <n v="2015"/>
    <x v="1"/>
  </r>
  <r>
    <s v="Olive Kitteridge"/>
    <s v="Elizabeth Strout"/>
    <n v="4.2"/>
    <n v="4519"/>
    <n v="11"/>
    <n v="2009"/>
    <x v="1"/>
  </r>
  <r>
    <s v="One Thousand Gifts: A Dare to Live Fully Right Where You Are"/>
    <s v="Ann Voskamp"/>
    <n v="4.5999999999999996"/>
    <n v="3163"/>
    <n v="11"/>
    <n v="2011"/>
    <x v="0"/>
  </r>
  <r>
    <s v="One Thousand Gifts: A Dare to Live Fully Right Where You Are"/>
    <s v="Ann Voskamp"/>
    <n v="4.5999999999999996"/>
    <n v="3163"/>
    <n v="11"/>
    <n v="2012"/>
    <x v="0"/>
  </r>
  <r>
    <s v="Option B: Facing Adversity, Building Resilience, and Finding Joy"/>
    <s v="Sheryl Sandberg"/>
    <n v="4.5"/>
    <n v="1831"/>
    <n v="11"/>
    <n v="2017"/>
    <x v="0"/>
  </r>
  <r>
    <s v="Origin: A Novel (Robert Langdon)"/>
    <s v="Dan Brown"/>
    <n v="4.3"/>
    <n v="18904"/>
    <n v="11"/>
    <n v="2017"/>
    <x v="1"/>
  </r>
  <r>
    <s v="Orphan Train"/>
    <s v="Christina Baker Kline"/>
    <n v="4.5999999999999996"/>
    <n v="21930"/>
    <n v="11"/>
    <n v="2014"/>
    <x v="1"/>
  </r>
  <r>
    <s v="Outliers: The Story of Success"/>
    <s v="Malcolm Gladwell"/>
    <n v="4.5999999999999996"/>
    <n v="10426"/>
    <n v="11"/>
    <n v="2009"/>
    <x v="0"/>
  </r>
  <r>
    <s v="Outliers: The Story of Success"/>
    <s v="Malcolm Gladwell"/>
    <n v="4.5999999999999996"/>
    <n v="10426"/>
    <n v="11"/>
    <n v="2010"/>
    <x v="0"/>
  </r>
  <r>
    <s v="P is for Potty! (Sesame Street) (Lift-the-Flap)"/>
    <s v="Naomi Kleinberg"/>
    <n v="4.7"/>
    <n v="10820"/>
    <n v="11"/>
    <n v="2018"/>
    <x v="0"/>
  </r>
  <r>
    <s v="P is for Potty! (Sesame Street) (Lift-the-Flap)"/>
    <s v="Naomi Kleinberg"/>
    <n v="4.7"/>
    <n v="10820"/>
    <n v="11"/>
    <n v="2019"/>
    <x v="0"/>
  </r>
  <r>
    <s v="Percy Jackson and the Olympians Paperback Boxed Set (Books 1-3)"/>
    <s v="Rick Riordan"/>
    <n v="4.8"/>
    <n v="548"/>
    <n v="11"/>
    <n v="2010"/>
    <x v="1"/>
  </r>
  <r>
    <s v="Player's Handbook (Dungeons &amp; Dragons)"/>
    <s v="Wizards RPG Team"/>
    <n v="4.8"/>
    <n v="16990"/>
    <n v="11"/>
    <n v="2017"/>
    <x v="1"/>
  </r>
  <r>
    <s v="Player's Handbook (Dungeons &amp; Dragons)"/>
    <s v="Wizards RPG Team"/>
    <n v="4.8"/>
    <n v="16990"/>
    <n v="11"/>
    <n v="2018"/>
    <x v="1"/>
  </r>
  <r>
    <s v="Player's Handbook (Dungeons &amp; Dragons)"/>
    <s v="Wizards RPG Team"/>
    <n v="4.8"/>
    <n v="16990"/>
    <n v="11"/>
    <n v="2019"/>
    <x v="1"/>
  </r>
  <r>
    <s v="Pokémon Deluxe Essential Handbook: The Need-to-Know Stats and Facts on Over 700 Pokémon"/>
    <s v="Scholastic"/>
    <n v="4.7"/>
    <n v="3503"/>
    <n v="11"/>
    <n v="2016"/>
    <x v="1"/>
  </r>
  <r>
    <s v="Proof of Heaven: A Neurosurgeon's Journey into the Afterlife"/>
    <s v="Eben Alexander"/>
    <n v="4.3"/>
    <n v="13616"/>
    <n v="11"/>
    <n v="2012"/>
    <x v="0"/>
  </r>
  <r>
    <s v="Proof of Heaven: A Neurosurgeon's Journey into the Afterlife"/>
    <s v="Eben Alexander"/>
    <n v="4.3"/>
    <n v="13616"/>
    <n v="11"/>
    <n v="2013"/>
    <x v="0"/>
  </r>
  <r>
    <s v="Publication Manual of the American Psychological Association, 6th Edition"/>
    <s v="American Psychological Association"/>
    <n v="4.5"/>
    <n v="8580"/>
    <n v="11"/>
    <n v="2009"/>
    <x v="0"/>
  </r>
  <r>
    <s v="Publication Manual of the American Psychological Association, 6th Edition"/>
    <s v="American Psychological Association"/>
    <n v="4.5"/>
    <n v="8580"/>
    <n v="11"/>
    <n v="2010"/>
    <x v="0"/>
  </r>
  <r>
    <s v="Publication Manual of the American Psychological Association, 6th Edition"/>
    <s v="American Psychological Association"/>
    <n v="4.5"/>
    <n v="8580"/>
    <n v="11"/>
    <n v="2011"/>
    <x v="0"/>
  </r>
  <r>
    <s v="Publication Manual of the American Psychological Association, 6th Edition"/>
    <s v="American Psychological Association"/>
    <n v="4.5"/>
    <n v="8580"/>
    <n v="11"/>
    <n v="2012"/>
    <x v="0"/>
  </r>
  <r>
    <s v="Publication Manual of the American Psychological Association, 6th Edition"/>
    <s v="American Psychological Association"/>
    <n v="4.5"/>
    <n v="8580"/>
    <n v="11"/>
    <n v="2013"/>
    <x v="0"/>
  </r>
  <r>
    <s v="Publication Manual of the American Psychological Association, 6th Edition"/>
    <s v="American Psychological Association"/>
    <n v="4.5"/>
    <n v="8580"/>
    <n v="11"/>
    <n v="2014"/>
    <x v="0"/>
  </r>
  <r>
    <s v="Publication Manual of the American Psychological Association, 6th Edition"/>
    <s v="American Psychological Association"/>
    <n v="4.5"/>
    <n v="8580"/>
    <n v="11"/>
    <n v="2015"/>
    <x v="0"/>
  </r>
  <r>
    <s v="Publication Manual of the American Psychological Association, 6th Edition"/>
    <s v="American Psychological Association"/>
    <n v="4.5"/>
    <n v="8580"/>
    <n v="11"/>
    <n v="2016"/>
    <x v="0"/>
  </r>
  <r>
    <s v="Publication Manual of the American Psychological Association, 6th Edition"/>
    <s v="American Psychological Association"/>
    <n v="4.5"/>
    <n v="8580"/>
    <n v="11"/>
    <n v="2017"/>
    <x v="0"/>
  </r>
  <r>
    <s v="Publication Manual of the American Psychological Association, 6th Edition"/>
    <s v="American Psychological Association"/>
    <n v="4.5"/>
    <n v="8580"/>
    <n v="11"/>
    <n v="2018"/>
    <x v="0"/>
  </r>
  <r>
    <s v="Puppy Birthday to You! (Paw Patrol) (Little Golden Book)"/>
    <s v="Golden Books"/>
    <n v="4.8"/>
    <n v="4757"/>
    <n v="11"/>
    <n v="2017"/>
    <x v="1"/>
  </r>
  <r>
    <s v="Quiet: The Power of Introverts in a World That Can't Stop Talking"/>
    <s v="Susan Cain"/>
    <n v="4.5999999999999996"/>
    <n v="10009"/>
    <n v="11"/>
    <n v="2012"/>
    <x v="0"/>
  </r>
  <r>
    <s v="Quiet: The Power of Introverts in a World That Can't Stop Talking"/>
    <s v="Susan Cain"/>
    <n v="4.5999999999999996"/>
    <n v="10009"/>
    <n v="11"/>
    <n v="2013"/>
    <x v="0"/>
  </r>
  <r>
    <s v="Radical: Taking Back Your Faith from the American Dream"/>
    <s v="David Platt"/>
    <n v="4.7"/>
    <n v="1985"/>
    <n v="10"/>
    <n v="2010"/>
    <x v="0"/>
  </r>
  <r>
    <s v="Radical: Taking Back Your Faith from the American Dream"/>
    <s v="David Platt"/>
    <n v="4.7"/>
    <n v="1985"/>
    <n v="10"/>
    <n v="2011"/>
    <x v="0"/>
  </r>
  <r>
    <s v="Ready Player One: A Novel"/>
    <s v="Ernest Cline"/>
    <n v="4.5999999999999996"/>
    <n v="22536"/>
    <n v="10"/>
    <n v="2017"/>
    <x v="1"/>
  </r>
  <r>
    <s v="Ready Player One: A Novel"/>
    <s v="Ernest Cline"/>
    <n v="4.5999999999999996"/>
    <n v="22536"/>
    <n v="10"/>
    <n v="2018"/>
    <x v="1"/>
  </r>
  <r>
    <s v="Rush Revere and the Brave Pilgrims: Time-Travel Adventures with Exceptional Americans (1)"/>
    <s v="Rush Limbaugh"/>
    <n v="4.9000000000000004"/>
    <n v="7150"/>
    <n v="10"/>
    <n v="2013"/>
    <x v="1"/>
  </r>
  <r>
    <s v="Rush Revere and the First Patriots: Time-Travel Adventures With Exceptional Americans (2)"/>
    <s v="Rush Limbaugh"/>
    <n v="4.9000000000000004"/>
    <n v="3836"/>
    <n v="10"/>
    <n v="2014"/>
    <x v="1"/>
  </r>
  <r>
    <s v="Salt, Fat, Acid, Heat: Mastering the Elements of Good Cooking"/>
    <s v="Samin Nosrat"/>
    <n v="4.8"/>
    <n v="7802"/>
    <n v="10"/>
    <n v="2018"/>
    <x v="0"/>
  </r>
  <r>
    <s v="Salt, Fat, Acid, Heat: Mastering the Elements of Good Cooking"/>
    <s v="Samin Nosrat"/>
    <n v="4.8"/>
    <n v="7802"/>
    <n v="10"/>
    <n v="2019"/>
    <x v="0"/>
  </r>
  <r>
    <s v="Sarah's Key"/>
    <s v="Tatiana de Rosnay"/>
    <n v="4.5999999999999996"/>
    <n v="3619"/>
    <n v="10"/>
    <n v="2010"/>
    <x v="1"/>
  </r>
  <r>
    <s v="School Zone - Big Preschool Workbook - Ages 4 and Up, Colors, Shapes, Numbers 1-10, Alphabet, Pre-Writing, Pre-Reading…"/>
    <s v="School Zone"/>
    <n v="4.8"/>
    <n v="23047"/>
    <n v="10"/>
    <n v="2018"/>
    <x v="0"/>
  </r>
  <r>
    <s v="School Zone - Big Preschool Workbook - Ages 4 and Up, Colors, Shapes, Numbers 1-10, Alphabet, Pre-Writing, Pre-Reading…"/>
    <s v="School Zone"/>
    <n v="4.8"/>
    <n v="23047"/>
    <n v="10"/>
    <n v="2019"/>
    <x v="0"/>
  </r>
  <r>
    <s v="Secret Garden: An Inky Treasure Hunt and Coloring Book (For Adults, mindfulness coloring)"/>
    <s v="Johanna Basford"/>
    <n v="4.7"/>
    <n v="9366"/>
    <n v="10"/>
    <n v="2015"/>
    <x v="0"/>
  </r>
  <r>
    <s v="Sh*t My Dad Says"/>
    <s v="Justin Halpern"/>
    <n v="4.7"/>
    <n v="1265"/>
    <n v="10"/>
    <n v="2010"/>
    <x v="0"/>
  </r>
  <r>
    <s v="Ship of Fools: How a Selfish Ruling Class Is Bringing America to the Brink of Revolution"/>
    <s v="Tucker Carlson"/>
    <n v="4.8"/>
    <n v="3923"/>
    <n v="10"/>
    <n v="2018"/>
    <x v="0"/>
  </r>
  <r>
    <s v="Shred: The Revolutionary Diet: 6 Weeks 4 Inches 2 Sizes"/>
    <s v="Ian K. Smith M.D."/>
    <n v="4.0999999999999996"/>
    <n v="2272"/>
    <n v="10"/>
    <n v="2013"/>
    <x v="0"/>
  </r>
  <r>
    <s v="Sookie Stackhouse"/>
    <s v="Charlaine Harris"/>
    <n v="4.7"/>
    <n v="973"/>
    <n v="10"/>
    <n v="2009"/>
    <x v="1"/>
  </r>
  <r>
    <s v="Soul Healing Miracles: Ancient and New Sacred Wisdom, Knowledge, and Practical Techniques for Healing the Spiritual…"/>
    <s v="Zhi Gang Sha"/>
    <n v="4.5999999999999996"/>
    <n v="220"/>
    <n v="10"/>
    <n v="2013"/>
    <x v="0"/>
  </r>
  <r>
    <s v="Steve Jobs"/>
    <s v="Walter Isaacson"/>
    <n v="4.5999999999999996"/>
    <n v="7827"/>
    <n v="10"/>
    <n v="2011"/>
    <x v="0"/>
  </r>
  <r>
    <s v="Steve Jobs"/>
    <s v="Walter Isaacson"/>
    <n v="4.5999999999999996"/>
    <n v="7827"/>
    <n v="10"/>
    <n v="2012"/>
    <x v="0"/>
  </r>
  <r>
    <s v="Strange Planet (Strange Planet Series)"/>
    <s v="Nathan W. Pyle"/>
    <n v="4.9000000000000004"/>
    <n v="9382"/>
    <n v="10"/>
    <n v="2019"/>
    <x v="1"/>
  </r>
  <r>
    <s v="StrengthsFinder 2.0"/>
    <s v="Gallup"/>
    <n v="4"/>
    <n v="5069"/>
    <n v="10"/>
    <n v="2009"/>
    <x v="0"/>
  </r>
  <r>
    <s v="StrengthsFinder 2.0"/>
    <s v="Gallup"/>
    <n v="4"/>
    <n v="5069"/>
    <n v="10"/>
    <n v="2010"/>
    <x v="0"/>
  </r>
  <r>
    <s v="StrengthsFinder 2.0"/>
    <s v="Gallup"/>
    <n v="4"/>
    <n v="5069"/>
    <n v="10"/>
    <n v="2011"/>
    <x v="0"/>
  </r>
  <r>
    <s v="StrengthsFinder 2.0"/>
    <s v="Gallup"/>
    <n v="4"/>
    <n v="5069"/>
    <n v="10"/>
    <n v="2012"/>
    <x v="0"/>
  </r>
  <r>
    <s v="StrengthsFinder 2.0"/>
    <s v="Gallup"/>
    <n v="4"/>
    <n v="5069"/>
    <n v="10"/>
    <n v="2013"/>
    <x v="0"/>
  </r>
  <r>
    <s v="StrengthsFinder 2.0"/>
    <s v="Gallup"/>
    <n v="4"/>
    <n v="5069"/>
    <n v="10"/>
    <n v="2014"/>
    <x v="0"/>
  </r>
  <r>
    <s v="StrengthsFinder 2.0"/>
    <s v="Gallup"/>
    <n v="4"/>
    <n v="5069"/>
    <n v="10"/>
    <n v="2015"/>
    <x v="0"/>
  </r>
  <r>
    <s v="StrengthsFinder 2.0"/>
    <s v="Gallup"/>
    <n v="4"/>
    <n v="5069"/>
    <n v="10"/>
    <n v="2016"/>
    <x v="0"/>
  </r>
  <r>
    <s v="StrengthsFinder 2.0"/>
    <s v="Gallup"/>
    <n v="4"/>
    <n v="5069"/>
    <n v="9"/>
    <n v="2017"/>
    <x v="0"/>
  </r>
  <r>
    <s v="Super Freakonomics: Global Cooling, Patriotic Prostitutes, and Why Suicide Bombers Should Buy Life Insurance"/>
    <s v="Steven D. Levitt"/>
    <n v="4.5"/>
    <n v="1583"/>
    <n v="9"/>
    <n v="2009"/>
    <x v="0"/>
  </r>
  <r>
    <s v="Switch: How to Change Things When Change Is Hard"/>
    <s v="Chip Heath"/>
    <n v="4.5999999999999996"/>
    <n v="1907"/>
    <n v="9"/>
    <n v="2010"/>
    <x v="0"/>
  </r>
  <r>
    <s v="Sycamore Row (Jake Brigance)"/>
    <s v="John Grisham"/>
    <n v="4.5"/>
    <n v="23114"/>
    <n v="9"/>
    <n v="2013"/>
    <x v="1"/>
  </r>
  <r>
    <s v="Teach Like a Champion: 49 Techniques that Put Students on the Path to College"/>
    <s v="Doug Lemov"/>
    <n v="4.4000000000000004"/>
    <n v="637"/>
    <n v="9"/>
    <n v="2010"/>
    <x v="0"/>
  </r>
  <r>
    <s v="Teach Like a Champion: 49 Techniques that Put Students on the Path to College"/>
    <s v="Doug Lemov"/>
    <n v="4.4000000000000004"/>
    <n v="637"/>
    <n v="9"/>
    <n v="2011"/>
    <x v="0"/>
  </r>
  <r>
    <s v="The 17 Day Diet: A Doctor's Plan Designed for Rapid Results"/>
    <s v="Mike Moreno"/>
    <n v="4.3"/>
    <n v="2314"/>
    <n v="9"/>
    <n v="2011"/>
    <x v="0"/>
  </r>
  <r>
    <s v="The 4 Hour Body: An Uncommon Guide to Rapid Fat Loss, Incredible Sex and Becoming Superhuman"/>
    <s v="Timothy Ferriss"/>
    <n v="4.3"/>
    <n v="4587"/>
    <n v="9"/>
    <n v="2011"/>
    <x v="0"/>
  </r>
  <r>
    <s v="The 5 Love Languages: The Secret to Love That Lasts"/>
    <s v="Gary Chapman"/>
    <n v="4.7"/>
    <n v="3477"/>
    <n v="9"/>
    <n v="2010"/>
    <x v="0"/>
  </r>
  <r>
    <s v="The 5 Love Languages: The Secret to Love That Lasts"/>
    <s v="Gary Chapman"/>
    <n v="4.7"/>
    <n v="3477"/>
    <n v="9"/>
    <n v="2011"/>
    <x v="0"/>
  </r>
  <r>
    <s v="The 5 Love Languages: The Secret to Love That Lasts"/>
    <s v="Gary Chapman"/>
    <n v="4.7"/>
    <n v="3477"/>
    <n v="9"/>
    <n v="2012"/>
    <x v="0"/>
  </r>
  <r>
    <s v="The 5 Love Languages: The Secret to Love That Lasts"/>
    <s v="Gary Chapman"/>
    <n v="4.7"/>
    <n v="3477"/>
    <n v="9"/>
    <n v="2013"/>
    <x v="0"/>
  </r>
  <r>
    <s v="The 5 Love Languages: The Secret to Love That Lasts"/>
    <s v="Gary Chapman"/>
    <n v="4.7"/>
    <n v="3477"/>
    <n v="9"/>
    <n v="2014"/>
    <x v="0"/>
  </r>
  <r>
    <s v="The 5 Love Languages: The Secret to Love that Lasts"/>
    <s v="Gary Chapman"/>
    <n v="4.8"/>
    <n v="25554"/>
    <n v="9"/>
    <n v="2015"/>
    <x v="0"/>
  </r>
  <r>
    <s v="The 5 Love Languages: The Secret to Love that Lasts"/>
    <s v="Gary Chapman"/>
    <n v="4.8"/>
    <n v="25554"/>
    <n v="9"/>
    <n v="2016"/>
    <x v="0"/>
  </r>
  <r>
    <s v="The 5 Love Languages: The Secret to Love that Lasts"/>
    <s v="Gary Chapman"/>
    <n v="4.8"/>
    <n v="25554"/>
    <n v="9"/>
    <n v="2017"/>
    <x v="0"/>
  </r>
  <r>
    <s v="The 5 Love Languages: The Secret to Love that Lasts"/>
    <s v="Gary Chapman"/>
    <n v="4.8"/>
    <n v="25554"/>
    <n v="9"/>
    <n v="2018"/>
    <x v="0"/>
  </r>
  <r>
    <s v="The 5 Love Languages: The Secret to Love that Lasts"/>
    <s v="Gary Chapman"/>
    <n v="4.8"/>
    <n v="25554"/>
    <n v="9"/>
    <n v="2019"/>
    <x v="0"/>
  </r>
  <r>
    <s v="The 5000 Year Leap"/>
    <s v="W. Cleon Skousen"/>
    <n v="4.8"/>
    <n v="1680"/>
    <n v="9"/>
    <n v="2009"/>
    <x v="0"/>
  </r>
  <r>
    <s v="The 7 Habits of Highly Effective People: Powerful Lessons in Personal Change"/>
    <s v="Stephen R. Covey"/>
    <n v="4.5999999999999996"/>
    <n v="9325"/>
    <n v="9"/>
    <n v="2009"/>
    <x v="0"/>
  </r>
  <r>
    <s v="The 7 Habits of Highly Effective People: Powerful Lessons in Personal Change"/>
    <s v="Stephen R. Covey"/>
    <n v="4.5999999999999996"/>
    <n v="9325"/>
    <n v="9"/>
    <n v="2011"/>
    <x v="0"/>
  </r>
  <r>
    <s v="The 7 Habits of Highly Effective People: Powerful Lessons in Personal Change"/>
    <s v="Stephen R. Covey"/>
    <n v="4.5999999999999996"/>
    <n v="9325"/>
    <n v="9"/>
    <n v="2012"/>
    <x v="0"/>
  </r>
  <r>
    <s v="The 7 Habits of Highly Effective People: Powerful Lessons in Personal Change"/>
    <s v="Stephen R. Covey"/>
    <n v="4.5999999999999996"/>
    <n v="9325"/>
    <n v="9"/>
    <n v="2013"/>
    <x v="0"/>
  </r>
  <r>
    <s v="The 7 Habits of Highly Effective People: Powerful Lessons in Personal Change"/>
    <s v="Stephen R. Covey"/>
    <n v="4.7"/>
    <n v="4725"/>
    <n v="9"/>
    <n v="2015"/>
    <x v="0"/>
  </r>
  <r>
    <s v="The 7 Habits of Highly Effective People: Powerful Lessons in Personal Change"/>
    <s v="Stephen R. Covey"/>
    <n v="4.7"/>
    <n v="4725"/>
    <n v="9"/>
    <n v="2016"/>
    <x v="0"/>
  </r>
  <r>
    <s v="The 7 Habits of Highly Effective People: Powerful Lessons in Personal Change"/>
    <s v="Stephen R. Covey"/>
    <n v="4.7"/>
    <n v="4725"/>
    <n v="9"/>
    <n v="2017"/>
    <x v="0"/>
  </r>
  <r>
    <s v="The Alchemist"/>
    <s v="Paulo Coelho"/>
    <n v="4.7"/>
    <n v="35799"/>
    <n v="9"/>
    <n v="2014"/>
    <x v="1"/>
  </r>
  <r>
    <s v="The Amateur"/>
    <s v="Edward Klein"/>
    <n v="4.5999999999999996"/>
    <n v="2580"/>
    <n v="9"/>
    <n v="2012"/>
    <x v="0"/>
  </r>
  <r>
    <s v="The Art of Racing in the Rain: A Novel"/>
    <s v="Garth Stein"/>
    <n v="4.7"/>
    <n v="11813"/>
    <n v="9"/>
    <n v="2010"/>
    <x v="1"/>
  </r>
  <r>
    <s v="The Art of Racing in the Rain: A Novel"/>
    <s v="Garth Stein"/>
    <n v="4.7"/>
    <n v="11813"/>
    <n v="9"/>
    <n v="2011"/>
    <x v="1"/>
  </r>
  <r>
    <s v="The Big Short: Inside the Doomsday Machine"/>
    <s v="Michael Lewis"/>
    <n v="4.7"/>
    <n v="3536"/>
    <n v="9"/>
    <n v="2010"/>
    <x v="0"/>
  </r>
  <r>
    <s v="The Blood of Olympus (The Heroes of Olympus (5))"/>
    <s v="Rick Riordan"/>
    <n v="4.8"/>
    <n v="6600"/>
    <n v="9"/>
    <n v="2014"/>
    <x v="1"/>
  </r>
  <r>
    <s v="The Blood Sugar Solution: The UltraHealthy Program for Losing Weight, Preventing Disease, and Feeling Great Now!"/>
    <s v="Mark Hyman M.D."/>
    <n v="4.2"/>
    <n v="1789"/>
    <n v="9"/>
    <n v="2012"/>
    <x v="0"/>
  </r>
  <r>
    <s v="The Body Keeps the Score: Brain, Mind, and Body in the Healing of Trauma"/>
    <s v="Bessel van der Kolk M.D."/>
    <n v="4.8"/>
    <n v="12361"/>
    <n v="9"/>
    <n v="2019"/>
    <x v="0"/>
  </r>
  <r>
    <s v="The Book of Basketball: The NBA According to The Sports Guy"/>
    <s v="Bill Simmons"/>
    <n v="4.7"/>
    <n v="858"/>
    <n v="9"/>
    <n v="2009"/>
    <x v="0"/>
  </r>
  <r>
    <s v="The Book Thief"/>
    <s v="Markus Zusak"/>
    <n v="4.5999999999999996"/>
    <n v="23148"/>
    <n v="9"/>
    <n v="2013"/>
    <x v="1"/>
  </r>
  <r>
    <s v="The Book Thief"/>
    <s v="Markus Zusak"/>
    <n v="4.5999999999999996"/>
    <n v="23148"/>
    <n v="9"/>
    <n v="2014"/>
    <x v="1"/>
  </r>
  <r>
    <s v="The Book with No Pictures"/>
    <s v="B. J. Novak"/>
    <n v="4.8"/>
    <n v="8081"/>
    <n v="9"/>
    <n v="2014"/>
    <x v="1"/>
  </r>
  <r>
    <s v="The Book with No Pictures"/>
    <s v="B. J. Novak"/>
    <n v="4.8"/>
    <n v="8081"/>
    <n v="8"/>
    <n v="2015"/>
    <x v="1"/>
  </r>
  <r>
    <s v="The Boys in the Boat: Nine Americans and Their Epic Quest for Gold at the 1936 Berlin Olympics"/>
    <s v="Daniel James Brown"/>
    <n v="4.8"/>
    <n v="23358"/>
    <n v="8"/>
    <n v="2014"/>
    <x v="0"/>
  </r>
  <r>
    <s v="The Boys in the Boat: Nine Americans and Their Epic Quest for Gold at the 1936 Berlin Olympics"/>
    <s v="Daniel James Brown"/>
    <n v="4.8"/>
    <n v="23358"/>
    <n v="8"/>
    <n v="2015"/>
    <x v="0"/>
  </r>
  <r>
    <s v="The Casual Vacancy"/>
    <s v="J.K. Rowling"/>
    <n v="3.3"/>
    <n v="9372"/>
    <n v="8"/>
    <n v="2012"/>
    <x v="1"/>
  </r>
  <r>
    <s v="The China Study: The Most Comprehensive Study of Nutrition Ever Conducted And the Startling Implications for Diet…"/>
    <s v="Thomas Campbell"/>
    <n v="4.7"/>
    <n v="4633"/>
    <n v="8"/>
    <n v="2011"/>
    <x v="0"/>
  </r>
  <r>
    <s v="The Complete Ketogenic Diet for Beginners: Your Essential Guide to Living the Keto Lifestyle"/>
    <s v="Amy Ramos"/>
    <n v="4.3"/>
    <n v="13061"/>
    <n v="8"/>
    <n v="2018"/>
    <x v="0"/>
  </r>
  <r>
    <s v="The Complete Ketogenic Diet for Beginners: Your Essential Guide to Living the Keto Lifestyle"/>
    <s v="Amy Ramos"/>
    <n v="4.3"/>
    <n v="13061"/>
    <n v="8"/>
    <n v="2019"/>
    <x v="0"/>
  </r>
  <r>
    <s v="The Confession: A Novel"/>
    <s v="John Grisham"/>
    <n v="4.3"/>
    <n v="3523"/>
    <n v="8"/>
    <n v="2010"/>
    <x v="1"/>
  </r>
  <r>
    <s v="The Constitution of the United States"/>
    <s v="Delegates of the Constitutional"/>
    <n v="4.8"/>
    <n v="2774"/>
    <n v="8"/>
    <n v="2016"/>
    <x v="0"/>
  </r>
  <r>
    <s v="The Daily Show with Jon Stewart Presents Earth (The Book): A Visitor's Guide to the Human Race"/>
    <s v="Jon Stewart"/>
    <n v="4.4000000000000004"/>
    <n v="440"/>
    <n v="8"/>
    <n v="2010"/>
    <x v="0"/>
  </r>
  <r>
    <s v="The Day the Crayons Quit"/>
    <s v="Drew Daywalt"/>
    <n v="4.8"/>
    <n v="8922"/>
    <n v="8"/>
    <n v="2013"/>
    <x v="1"/>
  </r>
  <r>
    <s v="The Day the Crayons Quit"/>
    <s v="Drew Daywalt"/>
    <n v="4.8"/>
    <n v="8922"/>
    <n v="8"/>
    <n v="2014"/>
    <x v="1"/>
  </r>
  <r>
    <s v="The Day the Crayons Quit"/>
    <s v="Drew Daywalt"/>
    <n v="4.8"/>
    <n v="8922"/>
    <n v="8"/>
    <n v="2015"/>
    <x v="1"/>
  </r>
  <r>
    <s v="The Dukan Diet: 2 Steps to Lose the Weight, 2 Steps to Keep It Off Forever"/>
    <s v="Pierre Dukan"/>
    <n v="4.0999999999999996"/>
    <n v="2023"/>
    <n v="8"/>
    <n v="2011"/>
    <x v="0"/>
  </r>
  <r>
    <s v="The Elegance of the Hedgehog"/>
    <s v="Muriel Barbery"/>
    <n v="4"/>
    <n v="1859"/>
    <n v="8"/>
    <n v="2009"/>
    <x v="1"/>
  </r>
  <r>
    <s v="The Fault in Our Stars"/>
    <s v="John Green"/>
    <n v="4.7"/>
    <n v="50482"/>
    <n v="8"/>
    <n v="2012"/>
    <x v="1"/>
  </r>
  <r>
    <s v="The Fault in Our Stars"/>
    <s v="John Green"/>
    <n v="4.7"/>
    <n v="50482"/>
    <n v="8"/>
    <n v="2013"/>
    <x v="1"/>
  </r>
  <r>
    <s v="The Fault in Our Stars"/>
    <s v="John Green"/>
    <n v="4.7"/>
    <n v="50482"/>
    <n v="8"/>
    <n v="2014"/>
    <x v="1"/>
  </r>
  <r>
    <s v="The Fault in Our Stars"/>
    <s v="John Green"/>
    <n v="4.7"/>
    <n v="50482"/>
    <n v="8"/>
    <n v="2014"/>
    <x v="1"/>
  </r>
  <r>
    <s v="The Five Dysfunctions of a Team: A Leadership Fable"/>
    <s v="Patrick Lencioni"/>
    <n v="4.5999999999999996"/>
    <n v="3207"/>
    <n v="8"/>
    <n v="2009"/>
    <x v="0"/>
  </r>
  <r>
    <s v="The Five Dysfunctions of a Team: A Leadership Fable"/>
    <s v="Patrick Lencioni"/>
    <n v="4.5999999999999996"/>
    <n v="3207"/>
    <n v="8"/>
    <n v="2010"/>
    <x v="0"/>
  </r>
  <r>
    <s v="The Five Dysfunctions of a Team: A Leadership Fable"/>
    <s v="Patrick Lencioni"/>
    <n v="4.5999999999999996"/>
    <n v="3207"/>
    <n v="8"/>
    <n v="2011"/>
    <x v="0"/>
  </r>
  <r>
    <s v="The Five Dysfunctions of a Team: A Leadership Fable"/>
    <s v="Patrick Lencioni"/>
    <n v="4.5999999999999996"/>
    <n v="3207"/>
    <n v="8"/>
    <n v="2012"/>
    <x v="0"/>
  </r>
  <r>
    <s v="The Five Dysfunctions of a Team: A Leadership Fable"/>
    <s v="Patrick Lencioni"/>
    <n v="4.5999999999999996"/>
    <n v="3207"/>
    <n v="8"/>
    <n v="2013"/>
    <x v="0"/>
  </r>
  <r>
    <s v="The Five Love Languages: How to Express Heartfelt Commitment to Your Mate"/>
    <s v="Gary Chapman"/>
    <n v="4.5999999999999996"/>
    <n v="803"/>
    <n v="8"/>
    <n v="2009"/>
    <x v="0"/>
  </r>
  <r>
    <s v="The Four Agreements: A Practical Guide to Personal Freedom (A Toltec Wisdom Book)"/>
    <s v="Don Miguel Ruiz"/>
    <n v="4.7"/>
    <n v="23308"/>
    <n v="8"/>
    <n v="2013"/>
    <x v="0"/>
  </r>
  <r>
    <s v="The Four Agreements: A Practical Guide to Personal Freedom (A Toltec Wisdom Book)"/>
    <s v="Don Miguel Ruiz"/>
    <n v="4.7"/>
    <n v="23308"/>
    <n v="8"/>
    <n v="2015"/>
    <x v="0"/>
  </r>
  <r>
    <s v="The Four Agreements: A Practical Guide to Personal Freedom (A Toltec Wisdom Book)"/>
    <s v="Don Miguel Ruiz"/>
    <n v="4.7"/>
    <n v="23308"/>
    <n v="8"/>
    <n v="2016"/>
    <x v="0"/>
  </r>
  <r>
    <s v="The Four Agreements: A Practical Guide to Personal Freedom (A Toltec Wisdom Book)"/>
    <s v="Don Miguel Ruiz"/>
    <n v="4.7"/>
    <n v="23308"/>
    <n v="8"/>
    <n v="2017"/>
    <x v="0"/>
  </r>
  <r>
    <s v="The Four Agreements: A Practical Guide to Personal Freedom (A Toltec Wisdom Book)"/>
    <s v="Don Miguel Ruiz"/>
    <n v="4.7"/>
    <n v="23308"/>
    <n v="8"/>
    <n v="2018"/>
    <x v="0"/>
  </r>
  <r>
    <s v="The Four Agreements: A Practical Guide to Personal Freedom (A Toltec Wisdom Book)"/>
    <s v="Don Miguel Ruiz"/>
    <n v="4.7"/>
    <n v="23308"/>
    <n v="8"/>
    <n v="2019"/>
    <x v="0"/>
  </r>
  <r>
    <s v="The Getaway"/>
    <s v="Jeff Kinney"/>
    <n v="4.8"/>
    <n v="5836"/>
    <n v="8"/>
    <n v="2017"/>
    <x v="1"/>
  </r>
  <r>
    <s v="The Girl on the Train"/>
    <s v="Paula Hawkins"/>
    <n v="4.0999999999999996"/>
    <n v="79446"/>
    <n v="8"/>
    <n v="2015"/>
    <x v="1"/>
  </r>
  <r>
    <s v="The Girl on the Train"/>
    <s v="Paula Hawkins"/>
    <n v="4.0999999999999996"/>
    <n v="79446"/>
    <n v="8"/>
    <n v="2016"/>
    <x v="1"/>
  </r>
  <r>
    <s v="The Girl Who Kicked the Hornet's Nest (Millennium Trilogy)"/>
    <s v="Stieg Larsson"/>
    <n v="4.7"/>
    <n v="7747"/>
    <n v="8"/>
    <n v="2010"/>
    <x v="1"/>
  </r>
  <r>
    <s v="The Girl Who Kicked the Hornet's Nest (Millennium Trilogy)"/>
    <s v="Stieg Larsson"/>
    <n v="4.7"/>
    <n v="7747"/>
    <n v="8"/>
    <n v="2011"/>
    <x v="1"/>
  </r>
  <r>
    <s v="The Girl Who Played with Fire (Millennium Series)"/>
    <s v="Stieg Larsson"/>
    <n v="4.7"/>
    <n v="7251"/>
    <n v="8"/>
    <n v="2010"/>
    <x v="1"/>
  </r>
  <r>
    <s v="The Girl Who Played with Fire (Millennium)"/>
    <s v="Stieg Larsson"/>
    <n v="4.7"/>
    <n v="7251"/>
    <n v="8"/>
    <n v="2009"/>
    <x v="1"/>
  </r>
  <r>
    <s v="The Girl with the Dragon Tattoo (Millennium Series)"/>
    <s v="Stieg Larsson"/>
    <n v="4.4000000000000004"/>
    <n v="10559"/>
    <n v="8"/>
    <n v="2009"/>
    <x v="1"/>
  </r>
  <r>
    <s v="The Girl with the Dragon Tattoo (Millennium Series)"/>
    <s v="Stieg Larsson"/>
    <n v="4.4000000000000004"/>
    <n v="10559"/>
    <n v="8"/>
    <n v="2010"/>
    <x v="1"/>
  </r>
  <r>
    <s v="The Going-To-Bed Book"/>
    <s v="Sandra Boynton"/>
    <n v="4.8"/>
    <n v="5249"/>
    <n v="8"/>
    <n v="2016"/>
    <x v="1"/>
  </r>
  <r>
    <s v="The Going-To-Bed Book"/>
    <s v="Sandra Boynton"/>
    <n v="4.8"/>
    <n v="5249"/>
    <n v="8"/>
    <n v="2017"/>
    <x v="1"/>
  </r>
  <r>
    <s v="The Goldfinch: A Novel (Pulitzer Prize for Fiction)"/>
    <s v="Donna Tartt"/>
    <n v="3.9"/>
    <n v="33844"/>
    <n v="8"/>
    <n v="2013"/>
    <x v="1"/>
  </r>
  <r>
    <s v="The Goldfinch: A Novel (Pulitzer Prize for Fiction)"/>
    <s v="Donna Tartt"/>
    <n v="3.9"/>
    <n v="33844"/>
    <n v="8"/>
    <n v="2014"/>
    <x v="1"/>
  </r>
  <r>
    <s v="The Great Gatsby"/>
    <s v="F. Scott Fitzgerald"/>
    <n v="4.4000000000000004"/>
    <n v="11616"/>
    <n v="8"/>
    <n v="2012"/>
    <x v="1"/>
  </r>
  <r>
    <s v="The Great Gatsby"/>
    <s v="F. Scott Fitzgerald"/>
    <n v="4.4000000000000004"/>
    <n v="11616"/>
    <n v="8"/>
    <n v="2013"/>
    <x v="1"/>
  </r>
  <r>
    <s v="The Great Gatsby"/>
    <s v="F. Scott Fitzgerald"/>
    <n v="4.4000000000000004"/>
    <n v="11616"/>
    <n v="8"/>
    <n v="2014"/>
    <x v="1"/>
  </r>
  <r>
    <s v="The Guardians: A Novel"/>
    <s v="John Grisham"/>
    <n v="4.5"/>
    <n v="13609"/>
    <n v="8"/>
    <n v="2019"/>
    <x v="1"/>
  </r>
  <r>
    <s v="The Guernsey Literary and Potato Peel Pie Society"/>
    <s v="Mary Ann Shaffer"/>
    <n v="4.7"/>
    <n v="8587"/>
    <n v="8"/>
    <n v="2009"/>
    <x v="1"/>
  </r>
  <r>
    <s v="The Handmaid's Tale"/>
    <s v="Margaret Atwood"/>
    <n v="4.3"/>
    <n v="29442"/>
    <n v="8"/>
    <n v="2017"/>
    <x v="1"/>
  </r>
  <r>
    <s v="The Harbinger: The Ancient Mystery that Holds the Secret of America's Future"/>
    <s v="Jonathan Cahn"/>
    <n v="4.5999999999999996"/>
    <n v="11098"/>
    <n v="8"/>
    <n v="2012"/>
    <x v="1"/>
  </r>
  <r>
    <s v="The Hate U Give"/>
    <s v="Angie Thomas"/>
    <n v="4.8"/>
    <n v="9947"/>
    <n v="8"/>
    <n v="2018"/>
    <x v="1"/>
  </r>
  <r>
    <s v="The Help"/>
    <s v="Kathryn Stockett"/>
    <n v="4.8"/>
    <n v="13871"/>
    <n v="7"/>
    <n v="2009"/>
    <x v="1"/>
  </r>
  <r>
    <s v="The Help"/>
    <s v="Kathryn Stockett"/>
    <n v="4.8"/>
    <n v="13871"/>
    <n v="7"/>
    <n v="2010"/>
    <x v="1"/>
  </r>
  <r>
    <s v="The Help"/>
    <s v="Kathryn Stockett"/>
    <n v="4.8"/>
    <n v="13871"/>
    <n v="7"/>
    <n v="2011"/>
    <x v="1"/>
  </r>
  <r>
    <s v="The Help"/>
    <s v="Kathryn Stockett"/>
    <n v="4.8"/>
    <n v="13871"/>
    <n v="7"/>
    <n v="2011"/>
    <x v="1"/>
  </r>
  <r>
    <s v="The House of Hades (Heroes of Olympus, Book 4)"/>
    <s v="Rick Riordan"/>
    <n v="4.8"/>
    <n v="6982"/>
    <n v="7"/>
    <n v="2013"/>
    <x v="1"/>
  </r>
  <r>
    <s v="The Hunger Games"/>
    <s v="Suzanne Collins"/>
    <n v="4.7"/>
    <n v="32122"/>
    <n v="7"/>
    <n v="2010"/>
    <x v="1"/>
  </r>
  <r>
    <s v="The Hunger Games (Book 1)"/>
    <s v="Suzanne Collins"/>
    <n v="4.7"/>
    <n v="32122"/>
    <n v="7"/>
    <n v="2011"/>
    <x v="1"/>
  </r>
  <r>
    <s v="The Hunger Games (Book 1)"/>
    <s v="Suzanne Collins"/>
    <n v="4.7"/>
    <n v="32122"/>
    <n v="7"/>
    <n v="2012"/>
    <x v="1"/>
  </r>
  <r>
    <s v="The Hunger Games Trilogy Boxed Set (1)"/>
    <s v="Suzanne Collins"/>
    <n v="4.8"/>
    <n v="16949"/>
    <n v="7"/>
    <n v="2011"/>
    <x v="1"/>
  </r>
  <r>
    <s v="The Hunger Games Trilogy Boxed Set (1)"/>
    <s v="Suzanne Collins"/>
    <n v="4.8"/>
    <n v="16949"/>
    <n v="7"/>
    <n v="2012"/>
    <x v="1"/>
  </r>
  <r>
    <s v="The Immortal Life of Henrietta Lacks"/>
    <s v="Rebecca Skloot"/>
    <n v="4.7"/>
    <n v="9289"/>
    <n v="7"/>
    <n v="2010"/>
    <x v="0"/>
  </r>
  <r>
    <s v="The Immortal Life of Henrietta Lacks"/>
    <s v="Rebecca Skloot"/>
    <n v="4.7"/>
    <n v="9289"/>
    <n v="7"/>
    <n v="2011"/>
    <x v="0"/>
  </r>
  <r>
    <s v="The Immortal Life of Henrietta Lacks"/>
    <s v="Rebecca Skloot"/>
    <n v="4.7"/>
    <n v="9289"/>
    <n v="7"/>
    <n v="2012"/>
    <x v="0"/>
  </r>
  <r>
    <s v="The Instant Pot Electric Pressure Cooker Cookbook: Easy Recipes for Fast &amp; Healthy Meals"/>
    <s v="Laurel Randolph"/>
    <n v="4.3"/>
    <n v="7368"/>
    <n v="7"/>
    <n v="2017"/>
    <x v="0"/>
  </r>
  <r>
    <s v="The Instant Pot Electric Pressure Cooker Cookbook: Easy Recipes for Fast &amp; Healthy Meals"/>
    <s v="Laurel Randolph"/>
    <n v="4.3"/>
    <n v="7368"/>
    <n v="7"/>
    <n v="2018"/>
    <x v="0"/>
  </r>
  <r>
    <s v="The Last Lecture"/>
    <s v="Randy Pausch"/>
    <n v="4.7"/>
    <n v="4028"/>
    <n v="7"/>
    <n v="2009"/>
    <x v="0"/>
  </r>
  <r>
    <s v="The Last Olympian (Percy Jackson and the Olympians, Book 5)"/>
    <s v="Rick Riordan"/>
    <n v="4.8"/>
    <n v="4628"/>
    <n v="7"/>
    <n v="2009"/>
    <x v="1"/>
  </r>
  <r>
    <s v="The Last Olympian (Percy Jackson and the Olympians, Book 5)"/>
    <s v="Rick Riordan"/>
    <n v="4.8"/>
    <n v="4628"/>
    <n v="7"/>
    <n v="2010"/>
    <x v="1"/>
  </r>
  <r>
    <s v="The Legend of Zelda: Hyrule Historia"/>
    <s v="Patrick Thorpe"/>
    <n v="4.9000000000000004"/>
    <n v="5396"/>
    <n v="7"/>
    <n v="2013"/>
    <x v="1"/>
  </r>
  <r>
    <s v="The Lego Ideas Book: Unlock Your Imagination"/>
    <s v="Daniel Lipkowitz"/>
    <n v="4.4000000000000004"/>
    <n v="4247"/>
    <n v="7"/>
    <n v="2011"/>
    <x v="0"/>
  </r>
  <r>
    <s v="The Lego Ideas Book: Unlock Your Imagination"/>
    <s v="Daniel Lipkowitz"/>
    <n v="4.4000000000000004"/>
    <n v="4247"/>
    <n v="7"/>
    <n v="2012"/>
    <x v="0"/>
  </r>
  <r>
    <s v="The Life-Changing Magic of Tidying Up: The Japanese Art of Decluttering and Organizing"/>
    <s v="Marie Kondō"/>
    <n v="4.5"/>
    <n v="22641"/>
    <n v="7"/>
    <n v="2015"/>
    <x v="0"/>
  </r>
  <r>
    <s v="The Life-Changing Magic of Tidying Up: The Japanese Art of Decluttering and Organizing"/>
    <s v="Marie Kondō"/>
    <n v="4.5"/>
    <n v="22641"/>
    <n v="7"/>
    <n v="2016"/>
    <x v="0"/>
  </r>
  <r>
    <s v="The Life-Changing Magic of Tidying Up: The Japanese Art of Decluttering and Organizing"/>
    <s v="Marie Kondō"/>
    <n v="4.5"/>
    <n v="22641"/>
    <n v="6"/>
    <n v="2017"/>
    <x v="0"/>
  </r>
  <r>
    <s v="The Life-Changing Magic of Tidying Up: The Japanese Art of Decluttering and Organizing"/>
    <s v="Marie Kondō"/>
    <n v="4.5"/>
    <n v="22641"/>
    <n v="6"/>
    <n v="2019"/>
    <x v="0"/>
  </r>
  <r>
    <s v="The Litigators"/>
    <s v="John Grisham"/>
    <n v="4.4000000000000004"/>
    <n v="6222"/>
    <n v="6"/>
    <n v="2011"/>
    <x v="1"/>
  </r>
  <r>
    <s v="The Lost Hero (Heroes of Olympus, Book 1)"/>
    <s v="Rick Riordan"/>
    <n v="4.8"/>
    <n v="4506"/>
    <n v="6"/>
    <n v="2010"/>
    <x v="1"/>
  </r>
  <r>
    <s v="The Lost Symbol"/>
    <s v="Dan Brown"/>
    <n v="4.2"/>
    <n v="8747"/>
    <n v="6"/>
    <n v="2009"/>
    <x v="1"/>
  </r>
  <r>
    <s v="The Love Dare"/>
    <s v="Stephen Kendrick"/>
    <n v="4.8"/>
    <n v="1655"/>
    <n v="6"/>
    <n v="2009"/>
    <x v="0"/>
  </r>
  <r>
    <s v="The Magnolia Story"/>
    <s v="Chip Gaines"/>
    <n v="4.9000000000000004"/>
    <n v="7861"/>
    <n v="6"/>
    <n v="2016"/>
    <x v="0"/>
  </r>
  <r>
    <s v="The Mark of Athena (Heroes of Olympus, Book 3)"/>
    <s v="Rick Riordan"/>
    <n v="4.8"/>
    <n v="6247"/>
    <n v="6"/>
    <n v="2012"/>
    <x v="1"/>
  </r>
  <r>
    <s v="The Martian"/>
    <s v="Andy Weir"/>
    <n v="4.7"/>
    <n v="39459"/>
    <n v="6"/>
    <n v="2015"/>
    <x v="1"/>
  </r>
  <r>
    <s v="The Maze Runner (Book 1)"/>
    <s v="James Dashner"/>
    <n v="4.5"/>
    <n v="10101"/>
    <n v="6"/>
    <n v="2014"/>
    <x v="1"/>
  </r>
  <r>
    <s v="The Meltdown (Diary of a Wimpy Kid Book 13)"/>
    <s v="Jeff Kinney"/>
    <n v="4.8"/>
    <n v="5898"/>
    <n v="6"/>
    <n v="2018"/>
    <x v="1"/>
  </r>
  <r>
    <s v="The Mueller Report"/>
    <s v="The Washington Post"/>
    <n v="4.5999999999999996"/>
    <n v="2744"/>
    <n v="6"/>
    <n v="2019"/>
    <x v="0"/>
  </r>
  <r>
    <s v="The Nightingale: A Novel"/>
    <s v="Kristin Hannah"/>
    <n v="4.8"/>
    <n v="49288"/>
    <n v="6"/>
    <n v="2015"/>
    <x v="1"/>
  </r>
  <r>
    <s v="The Nightingale: A Novel"/>
    <s v="Kristin Hannah"/>
    <n v="4.8"/>
    <n v="49288"/>
    <n v="6"/>
    <n v="2016"/>
    <x v="1"/>
  </r>
  <r>
    <s v="The Official SAT Study Guide"/>
    <s v="The College Board"/>
    <n v="4.4000000000000004"/>
    <n v="1201"/>
    <n v="6"/>
    <n v="2010"/>
    <x v="0"/>
  </r>
  <r>
    <s v="The Official SAT Study Guide"/>
    <s v="The College Board"/>
    <n v="4.4000000000000004"/>
    <n v="1201"/>
    <n v="6"/>
    <n v="2011"/>
    <x v="0"/>
  </r>
  <r>
    <s v="The Official SAT Study Guide"/>
    <s v="The College Board"/>
    <n v="4.4000000000000004"/>
    <n v="1201"/>
    <n v="6"/>
    <n v="2012"/>
    <x v="0"/>
  </r>
  <r>
    <s v="The Official SAT Study Guide"/>
    <s v="The College Board"/>
    <n v="4.4000000000000004"/>
    <n v="1201"/>
    <n v="6"/>
    <n v="2013"/>
    <x v="0"/>
  </r>
  <r>
    <s v="The Official SAT Study Guide"/>
    <s v="The College Board"/>
    <n v="4.4000000000000004"/>
    <n v="1201"/>
    <n v="6"/>
    <n v="2014"/>
    <x v="0"/>
  </r>
  <r>
    <s v="The Official SAT Study Guide, 2016 Edition (Official Study Guide for the New Sat)"/>
    <s v="The College Board"/>
    <n v="4.3"/>
    <n v="807"/>
    <n v="6"/>
    <n v="2016"/>
    <x v="0"/>
  </r>
  <r>
    <s v="The Paris Wife: A Novel"/>
    <s v="Paula McLain"/>
    <n v="4.3"/>
    <n v="3759"/>
    <n v="6"/>
    <n v="2011"/>
    <x v="1"/>
  </r>
  <r>
    <s v="The Pioneer Woman Cooks: A Year of Holidays: 140 Step-by-Step Recipes for Simple, Scrumptious Celebrations"/>
    <s v="Ree Drummond"/>
    <n v="4.8"/>
    <n v="2663"/>
    <n v="6"/>
    <n v="2013"/>
    <x v="0"/>
  </r>
  <r>
    <s v="The Pioneer Woman Cooks: Dinnertime - Comfort Classics, Freezer Food, 16-minute Meals, and Other Delicious Ways to Solve…"/>
    <s v="Ree Drummond"/>
    <n v="4.8"/>
    <n v="3428"/>
    <n v="6"/>
    <n v="2015"/>
    <x v="0"/>
  </r>
  <r>
    <s v="The Pioneer Woman Cooks: Food from My Frontier"/>
    <s v="Ree Drummond"/>
    <n v="4.8"/>
    <n v="2876"/>
    <n v="6"/>
    <n v="2012"/>
    <x v="0"/>
  </r>
  <r>
    <s v="The Plant Paradox Cookbook: 100 Delicious Recipes to Help You Lose Weight, Heal Your Gut, and Live Lectin-Free"/>
    <s v="Dr. Steven R Gundry MD"/>
    <n v="4.5"/>
    <n v="3601"/>
    <n v="6"/>
    <n v="2018"/>
    <x v="0"/>
  </r>
  <r>
    <s v="The Plant Paradox: The Hidden Dangers in &quot;Healthy&quot; Foods That Cause Disease and Weight Gain"/>
    <s v="Dr. Steven R Gundry MD"/>
    <n v="4.4000000000000004"/>
    <n v="7058"/>
    <n v="6"/>
    <n v="2018"/>
    <x v="0"/>
  </r>
  <r>
    <s v="The Pout-Pout Fish"/>
    <s v="Deborah Diesen"/>
    <n v="4.8"/>
    <n v="9784"/>
    <n v="6"/>
    <n v="2017"/>
    <x v="1"/>
  </r>
  <r>
    <s v="The Pout-Pout Fish"/>
    <s v="Deborah Diesen"/>
    <n v="4.8"/>
    <n v="9784"/>
    <n v="6"/>
    <n v="2018"/>
    <x v="1"/>
  </r>
  <r>
    <s v="The Power of Habit: Why We Do What We Do in Life and Business"/>
    <s v="Charles Duhigg"/>
    <n v="4.5999999999999996"/>
    <n v="10795"/>
    <n v="6"/>
    <n v="2012"/>
    <x v="0"/>
  </r>
  <r>
    <s v="The President Is Missing: A Novel"/>
    <s v="James Patterson"/>
    <n v="4.3"/>
    <n v="10191"/>
    <n v="6"/>
    <n v="2018"/>
    <x v="1"/>
  </r>
  <r>
    <s v="The Racketeer"/>
    <s v="John Grisham"/>
    <n v="4.3"/>
    <n v="14493"/>
    <n v="6"/>
    <n v="2012"/>
    <x v="1"/>
  </r>
  <r>
    <s v="The Red Pyramid (The Kane Chronicles, Book 1)"/>
    <s v="Rick Riordan"/>
    <n v="4.5999999999999996"/>
    <n v="2186"/>
    <n v="6"/>
    <n v="2010"/>
    <x v="1"/>
  </r>
  <r>
    <s v="The Road to Serfdom: Text and Documents--The Definitive Edition (The Collected Works of F. A. Hayek, Volume 2)"/>
    <s v="F. A. Hayek"/>
    <n v="4.5999999999999996"/>
    <n v="1204"/>
    <n v="6"/>
    <n v="2010"/>
    <x v="0"/>
  </r>
  <r>
    <s v="The Serpent's Shadow (The Kane Chronicles, Book 3)"/>
    <s v="Rick Riordan"/>
    <n v="4.8"/>
    <n v="2091"/>
    <n v="6"/>
    <n v="2012"/>
    <x v="1"/>
  </r>
  <r>
    <s v="The Shack: Where Tragedy Confronts Eternity"/>
    <s v="William P. Young"/>
    <n v="4.5999999999999996"/>
    <n v="19720"/>
    <n v="6"/>
    <n v="2009"/>
    <x v="1"/>
  </r>
  <r>
    <s v="The Shack: Where Tragedy Confronts Eternity"/>
    <s v="William P. Young"/>
    <n v="4.5999999999999996"/>
    <n v="19720"/>
    <n v="6"/>
    <n v="2017"/>
    <x v="1"/>
  </r>
  <r>
    <s v="The Short Second Life of Bree Tanner: An Eclipse Novella (The Twilight Saga)"/>
    <s v="Stephenie Meyer"/>
    <n v="4.5999999999999996"/>
    <n v="2122"/>
    <n v="6"/>
    <n v="2010"/>
    <x v="1"/>
  </r>
  <r>
    <s v="The Silent Patient"/>
    <s v="Alex Michaelides"/>
    <n v="4.5"/>
    <n v="27536"/>
    <n v="6"/>
    <n v="2019"/>
    <x v="1"/>
  </r>
  <r>
    <s v="The Son of Neptune (Heroes of Olympus, Book 2)"/>
    <s v="Rick Riordan"/>
    <n v="4.8"/>
    <n v="4290"/>
    <n v="5"/>
    <n v="2011"/>
    <x v="1"/>
  </r>
  <r>
    <s v="The Subtle Art of Not Giving a F*ck: A Counterintuitive Approach to Living a Good Life"/>
    <s v="Mark Manson"/>
    <n v="4.5999999999999996"/>
    <n v="26490"/>
    <n v="5"/>
    <n v="2017"/>
    <x v="0"/>
  </r>
  <r>
    <s v="The Subtle Art of Not Giving a F*ck: A Counterintuitive Approach to Living a Good Life"/>
    <s v="Mark Manson"/>
    <n v="4.5999999999999996"/>
    <n v="26490"/>
    <n v="5"/>
    <n v="2018"/>
    <x v="0"/>
  </r>
  <r>
    <s v="The Subtle Art of Not Giving a F*ck: A Counterintuitive Approach to Living a Good Life"/>
    <s v="Mark Manson"/>
    <n v="4.5999999999999996"/>
    <n v="26490"/>
    <n v="5"/>
    <n v="2019"/>
    <x v="0"/>
  </r>
  <r>
    <s v="The Sun and Her Flowers"/>
    <s v="Rupi Kaur"/>
    <n v="4.7"/>
    <n v="5487"/>
    <n v="5"/>
    <n v="2017"/>
    <x v="0"/>
  </r>
  <r>
    <s v="The Third Wheel (Diary of a Wimpy Kid, Book 7)"/>
    <s v="Jeff Kinney"/>
    <n v="4.7"/>
    <n v="6377"/>
    <n v="5"/>
    <n v="2012"/>
    <x v="1"/>
  </r>
  <r>
    <s v="The Throne of Fire (The Kane Chronicles, Book 2)"/>
    <s v="Rick Riordan"/>
    <n v="4.7"/>
    <n v="1463"/>
    <n v="5"/>
    <n v="2011"/>
    <x v="1"/>
  </r>
  <r>
    <s v="The Time Traveler's Wife"/>
    <s v="Audrey Niffenegger"/>
    <n v="4.4000000000000004"/>
    <n v="3759"/>
    <n v="5"/>
    <n v="2009"/>
    <x v="1"/>
  </r>
  <r>
    <s v="The Tipping Point: How Little Things Can Make a Big Difference"/>
    <s v="Malcolm Gladwell"/>
    <n v="4.4000000000000004"/>
    <n v="3503"/>
    <n v="5"/>
    <n v="2009"/>
    <x v="0"/>
  </r>
  <r>
    <s v="The Total Money Makeover: Classic Edition: A Proven Plan for Financial Fitness"/>
    <s v="Dave Ramsey"/>
    <n v="4.7"/>
    <n v="11550"/>
    <n v="5"/>
    <n v="2019"/>
    <x v="0"/>
  </r>
  <r>
    <s v="The Twilight Saga Collection"/>
    <s v="Stephenie Meyer"/>
    <n v="4.7"/>
    <n v="3801"/>
    <n v="5"/>
    <n v="2009"/>
    <x v="1"/>
  </r>
  <r>
    <s v="The Ugly Truth (Diary of a Wimpy Kid, Book 5)"/>
    <s v="Jeff Kinney"/>
    <n v="4.8"/>
    <n v="3796"/>
    <n v="5"/>
    <n v="2010"/>
    <x v="1"/>
  </r>
  <r>
    <s v="The Unofficial Harry Potter Cookbook: From Cauldron Cakes to Knickerbocker Glory--More Than 150 Magical Recipes for…"/>
    <s v="Dinah Bucholz"/>
    <n v="4.7"/>
    <n v="9030"/>
    <n v="5"/>
    <n v="2019"/>
    <x v="0"/>
  </r>
  <r>
    <s v="The Very Hungry Caterpillar"/>
    <s v="Eric Carle"/>
    <n v="4.9000000000000004"/>
    <n v="19546"/>
    <n v="5"/>
    <n v="2013"/>
    <x v="1"/>
  </r>
  <r>
    <s v="The Very Hungry Caterpillar"/>
    <s v="Eric Carle"/>
    <n v="4.9000000000000004"/>
    <n v="19546"/>
    <n v="5"/>
    <n v="2014"/>
    <x v="1"/>
  </r>
  <r>
    <s v="The Very Hungry Caterpillar"/>
    <s v="Eric Carle"/>
    <n v="4.9000000000000004"/>
    <n v="19546"/>
    <n v="5"/>
    <n v="2015"/>
    <x v="1"/>
  </r>
  <r>
    <s v="The Very Hungry Caterpillar"/>
    <s v="Eric Carle"/>
    <n v="4.9000000000000004"/>
    <n v="19546"/>
    <n v="5"/>
    <n v="2016"/>
    <x v="1"/>
  </r>
  <r>
    <s v="The Very Hungry Caterpillar"/>
    <s v="Eric Carle"/>
    <n v="4.9000000000000004"/>
    <n v="19546"/>
    <n v="5"/>
    <n v="2017"/>
    <x v="1"/>
  </r>
  <r>
    <s v="The Very Hungry Caterpillar"/>
    <s v="Eric Carle"/>
    <n v="4.9000000000000004"/>
    <n v="19546"/>
    <n v="5"/>
    <n v="2018"/>
    <x v="1"/>
  </r>
  <r>
    <s v="The Very Hungry Caterpillar"/>
    <s v="Eric Carle"/>
    <n v="4.9000000000000004"/>
    <n v="19546"/>
    <n v="5"/>
    <n v="2019"/>
    <x v="1"/>
  </r>
  <r>
    <s v="The Whole30: The 30-Day Guide to Total Health and Food Freedom"/>
    <s v="Melissa Hartwig Urban"/>
    <n v="4.5999999999999996"/>
    <n v="7508"/>
    <n v="5"/>
    <n v="2015"/>
    <x v="0"/>
  </r>
  <r>
    <s v="The Whole30: The 30-Day Guide to Total Health and Food Freedom"/>
    <s v="Melissa Hartwig Urban"/>
    <n v="4.5999999999999996"/>
    <n v="7508"/>
    <n v="5"/>
    <n v="2016"/>
    <x v="0"/>
  </r>
  <r>
    <s v="The Whole30: The 30-Day Guide to Total Health and Food Freedom"/>
    <s v="Melissa Hartwig Urban"/>
    <n v="4.5999999999999996"/>
    <n v="7508"/>
    <n v="5"/>
    <n v="2017"/>
    <x v="0"/>
  </r>
  <r>
    <s v="The Wonderful Things You Will Be"/>
    <s v="Emily Winfield Martin"/>
    <n v="4.9000000000000004"/>
    <n v="8842"/>
    <n v="5"/>
    <n v="2016"/>
    <x v="1"/>
  </r>
  <r>
    <s v="The Wonderful Things You Will Be"/>
    <s v="Emily Winfield Martin"/>
    <n v="4.9000000000000004"/>
    <n v="8842"/>
    <n v="5"/>
    <n v="2017"/>
    <x v="1"/>
  </r>
  <r>
    <s v="The Wonderful Things You Will Be"/>
    <s v="Emily Winfield Martin"/>
    <n v="4.9000000000000004"/>
    <n v="8842"/>
    <n v="5"/>
    <n v="2018"/>
    <x v="1"/>
  </r>
  <r>
    <s v="The Wonderful Things You Will Be"/>
    <s v="Emily Winfield Martin"/>
    <n v="4.9000000000000004"/>
    <n v="8842"/>
    <n v="5"/>
    <n v="2019"/>
    <x v="1"/>
  </r>
  <r>
    <s v="The Wonky Donkey"/>
    <s v="Craig Smith"/>
    <n v="4.8"/>
    <n v="30183"/>
    <n v="5"/>
    <n v="2018"/>
    <x v="1"/>
  </r>
  <r>
    <s v="The Wonky Donkey"/>
    <s v="Craig Smith"/>
    <n v="4.8"/>
    <n v="30183"/>
    <n v="5"/>
    <n v="2019"/>
    <x v="1"/>
  </r>
  <r>
    <s v="The Wright Brothers"/>
    <s v="David McCullough"/>
    <n v="4.7"/>
    <n v="6169"/>
    <n v="5"/>
    <n v="2015"/>
    <x v="0"/>
  </r>
  <r>
    <s v="Things That Matter: Three Decades of Passions, Pastimes and Politics [Deckled Edge]"/>
    <s v="Charles Krauthammer"/>
    <n v="4.7"/>
    <n v="7034"/>
    <n v="5"/>
    <n v="2013"/>
    <x v="0"/>
  </r>
  <r>
    <s v="Thinking, Fast and Slow"/>
    <s v="Daniel Kahneman"/>
    <n v="4.5999999999999996"/>
    <n v="11034"/>
    <n v="5"/>
    <n v="2011"/>
    <x v="0"/>
  </r>
  <r>
    <s v="Thinking, Fast and Slow"/>
    <s v="Daniel Kahneman"/>
    <n v="4.5999999999999996"/>
    <n v="11034"/>
    <n v="5"/>
    <n v="2012"/>
    <x v="0"/>
  </r>
  <r>
    <s v="Thirteen Reasons Why"/>
    <s v="Jay Asher"/>
    <n v="4.5"/>
    <n v="7932"/>
    <n v="5"/>
    <n v="2017"/>
    <x v="1"/>
  </r>
  <r>
    <s v="Thomas Jefferson: The Art of Power"/>
    <s v="Jon Meacham"/>
    <n v="4.5"/>
    <n v="1904"/>
    <n v="5"/>
    <n v="2012"/>
    <x v="0"/>
  </r>
  <r>
    <s v="Three Cups of Tea: One Man's Mission to Promote Peace - One School at a Time"/>
    <s v="Greg Mortenson"/>
    <n v="4.3"/>
    <n v="3319"/>
    <n v="5"/>
    <n v="2009"/>
    <x v="0"/>
  </r>
  <r>
    <s v="Three Cups of Tea: One Man's Mission to Promote Peace - One School at a Time"/>
    <s v="Greg Mortenson"/>
    <n v="4.3"/>
    <n v="3319"/>
    <n v="4"/>
    <n v="2010"/>
    <x v="0"/>
  </r>
  <r>
    <s v="Thug Kitchen: The Official Cookbook: Eat Like You Give a F*ck (Thug Kitchen Cookbooks)"/>
    <s v="Thug Kitchen"/>
    <n v="4.5999999999999996"/>
    <n v="11128"/>
    <n v="4"/>
    <n v="2014"/>
    <x v="0"/>
  </r>
  <r>
    <s v="Thug Kitchen: The Official Cookbook: Eat Like You Give a F*ck (Thug Kitchen Cookbooks)"/>
    <s v="Thug Kitchen"/>
    <n v="4.5999999999999996"/>
    <n v="11128"/>
    <n v="4"/>
    <n v="2015"/>
    <x v="0"/>
  </r>
  <r>
    <s v="Thug Kitchen: The Official Cookbook: Eat Like You Give a F*ck (Thug Kitchen Cookbooks)"/>
    <s v="Thug Kitchen"/>
    <n v="4.5999999999999996"/>
    <n v="11128"/>
    <n v="4"/>
    <n v="2016"/>
    <x v="0"/>
  </r>
  <r>
    <s v="Thug Kitchen: The Official Cookbook: Eat Like You Give a F*ck (Thug Kitchen Cookbooks)"/>
    <s v="Thug Kitchen"/>
    <n v="4.5999999999999996"/>
    <n v="11128"/>
    <n v="4"/>
    <n v="2017"/>
    <x v="0"/>
  </r>
  <r>
    <s v="Tina Fey: Bossypants"/>
    <s v="Tina Fey"/>
    <n v="4.3"/>
    <n v="5977"/>
    <n v="4"/>
    <n v="2011"/>
    <x v="0"/>
  </r>
  <r>
    <s v="To Kill a Mockingbird"/>
    <s v="Harper Lee"/>
    <n v="4.8"/>
    <n v="26234"/>
    <n v="4"/>
    <n v="2013"/>
    <x v="1"/>
  </r>
  <r>
    <s v="To Kill a Mockingbird"/>
    <s v="Harper Lee"/>
    <n v="4.8"/>
    <n v="26234"/>
    <n v="4"/>
    <n v="2014"/>
    <x v="1"/>
  </r>
  <r>
    <s v="To Kill a Mockingbird"/>
    <s v="Harper Lee"/>
    <n v="4.8"/>
    <n v="26234"/>
    <n v="4"/>
    <n v="2015"/>
    <x v="1"/>
  </r>
  <r>
    <s v="To Kill a Mockingbird"/>
    <s v="Harper Lee"/>
    <n v="4.8"/>
    <n v="26234"/>
    <n v="4"/>
    <n v="2016"/>
    <x v="1"/>
  </r>
  <r>
    <s v="To Kill a Mockingbird"/>
    <s v="Harper Lee"/>
    <n v="4.8"/>
    <n v="26234"/>
    <n v="4"/>
    <n v="2019"/>
    <x v="1"/>
  </r>
  <r>
    <s v="Tools of Titans: The Tactics, Routines, and Habits of Billionaires, Icons, and World-Class Performers"/>
    <s v="Timothy Ferriss"/>
    <n v="4.5999999999999996"/>
    <n v="4360"/>
    <n v="4"/>
    <n v="2017"/>
    <x v="0"/>
  </r>
  <r>
    <s v="Towers of Midnight (Wheel of Time, Book Thirteen)"/>
    <s v="Robert Jordan"/>
    <n v="4.8"/>
    <n v="2282"/>
    <n v="4"/>
    <n v="2010"/>
    <x v="1"/>
  </r>
  <r>
    <s v="True Compass: A Memoir"/>
    <s v="Edward M. Kennedy"/>
    <n v="4.5"/>
    <n v="438"/>
    <n v="4"/>
    <n v="2009"/>
    <x v="0"/>
  </r>
  <r>
    <s v="Twilight (The Twilight Saga, Book 1)"/>
    <s v="Stephenie Meyer"/>
    <n v="4.7"/>
    <n v="11676"/>
    <n v="4"/>
    <n v="2009"/>
    <x v="1"/>
  </r>
  <r>
    <s v="Ultimate Sticker Book: Frozen: More Than 60 Reusable Full-Color Stickers"/>
    <s v="DK"/>
    <n v="4.5"/>
    <n v="2586"/>
    <n v="4"/>
    <n v="2014"/>
    <x v="1"/>
  </r>
  <r>
    <s v="Unbroken: A World War II Story of Survival, Resilience, and Redemption"/>
    <s v="Laura Hillenbrand"/>
    <n v="4.8"/>
    <n v="29673"/>
    <n v="4"/>
    <n v="2010"/>
    <x v="0"/>
  </r>
  <r>
    <s v="Unbroken: A World War II Story of Survival, Resilience, and Redemption"/>
    <s v="Laura Hillenbrand"/>
    <n v="4.8"/>
    <n v="29673"/>
    <n v="4"/>
    <n v="2011"/>
    <x v="0"/>
  </r>
  <r>
    <s v="Unbroken: A World War II Story of Survival, Resilience, and Redemption"/>
    <s v="Laura Hillenbrand"/>
    <n v="4.8"/>
    <n v="29673"/>
    <n v="4"/>
    <n v="2012"/>
    <x v="0"/>
  </r>
  <r>
    <s v="Unbroken: A World War II Story of Survival, Resilience, and Redemption"/>
    <s v="Laura Hillenbrand"/>
    <n v="4.8"/>
    <n v="29673"/>
    <n v="4"/>
    <n v="2014"/>
    <x v="0"/>
  </r>
  <r>
    <s v="Unbroken: A World War II Story of Survival, Resilience, and Redemption"/>
    <s v="Laura Hillenbrand"/>
    <n v="4.8"/>
    <n v="29673"/>
    <n v="4"/>
    <n v="2014"/>
    <x v="0"/>
  </r>
  <r>
    <s v="Under the Dome: A Novel"/>
    <s v="Stephen King"/>
    <n v="4.3"/>
    <n v="6740"/>
    <n v="4"/>
    <n v="2009"/>
    <x v="1"/>
  </r>
  <r>
    <s v="Unfreedom of the Press"/>
    <s v="Mark R. Levin"/>
    <n v="4.9000000000000004"/>
    <n v="5956"/>
    <n v="4"/>
    <n v="2019"/>
    <x v="0"/>
  </r>
  <r>
    <s v="Unicorn Coloring Book: For Kids Ages 4-8 (US Edition) (Silly Bear Coloring Books)"/>
    <s v="Silly Bear"/>
    <n v="4.8"/>
    <n v="6108"/>
    <n v="4"/>
    <n v="2019"/>
    <x v="0"/>
  </r>
  <r>
    <s v="Uninvited: Living Loved When You Feel Less Than, Left Out, and Lonely"/>
    <s v="Lysa TerKeurst"/>
    <n v="4.7"/>
    <n v="4585"/>
    <n v="4"/>
    <n v="2016"/>
    <x v="0"/>
  </r>
  <r>
    <s v="Watchmen"/>
    <s v="Alan Moore"/>
    <n v="4.8"/>
    <n v="3829"/>
    <n v="4"/>
    <n v="2009"/>
    <x v="1"/>
  </r>
  <r>
    <s v="Water for Elephants: A Novel"/>
    <s v="Sara Gruen"/>
    <n v="4.5"/>
    <n v="8958"/>
    <n v="4"/>
    <n v="2011"/>
    <x v="1"/>
  </r>
  <r>
    <s v="What Happened"/>
    <s v="Hillary Rodham Clinton"/>
    <n v="4.5999999999999996"/>
    <n v="5492"/>
    <n v="4"/>
    <n v="2017"/>
    <x v="0"/>
  </r>
  <r>
    <s v="What If?: Serious Scientific Answers to Absurd Hypothetical Questions"/>
    <s v="Randall Munroe"/>
    <n v="4.7"/>
    <n v="9292"/>
    <n v="4"/>
    <n v="2014"/>
    <x v="0"/>
  </r>
  <r>
    <s v="What Pet Should I Get? (Classic Seuss)"/>
    <s v="Dr. Seuss"/>
    <n v="4.7"/>
    <n v="1873"/>
    <n v="4"/>
    <n v="2015"/>
    <x v="1"/>
  </r>
  <r>
    <s v="What Should Danny Do? (The Power to Choose Series)"/>
    <s v="Adir Levy"/>
    <n v="4.8"/>
    <n v="8170"/>
    <n v="4"/>
    <n v="2019"/>
    <x v="1"/>
  </r>
  <r>
    <s v="What to Expect When You're Expecting"/>
    <s v="Heidi Murkoff"/>
    <n v="4.4000000000000004"/>
    <n v="3341"/>
    <n v="4"/>
    <n v="2011"/>
    <x v="0"/>
  </r>
  <r>
    <s v="Wheat Belly: Lose the Wheat, Lose the Weight, and Find Your Path Back to Health"/>
    <s v="William Davis"/>
    <n v="4.4000000000000004"/>
    <n v="7497"/>
    <n v="3"/>
    <n v="2012"/>
    <x v="0"/>
  </r>
  <r>
    <s v="Wheat Belly: Lose the Wheat, Lose the Weight, and Find Your Path Back to Health"/>
    <s v="William Davis"/>
    <n v="4.4000000000000004"/>
    <n v="7497"/>
    <n v="2"/>
    <n v="2013"/>
    <x v="0"/>
  </r>
  <r>
    <s v="When Breath Becomes Air"/>
    <s v="Paul Kalanithi"/>
    <n v="4.8"/>
    <n v="13779"/>
    <n v="2"/>
    <n v="2016"/>
    <x v="0"/>
  </r>
  <r>
    <s v="Where the Crawdads Sing"/>
    <s v="Delia Owens"/>
    <n v="4.8"/>
    <n v="87841"/>
    <n v="2"/>
    <n v="2019"/>
    <x v="1"/>
  </r>
  <r>
    <s v="Where the Wild Things Are"/>
    <s v="Maurice Sendak"/>
    <n v="4.8"/>
    <n v="9967"/>
    <n v="2"/>
    <n v="2009"/>
    <x v="1"/>
  </r>
  <r>
    <s v="Whose Boat Is This Boat?: Comments That Don't Help in the Aftermath of a Hurricane"/>
    <s v="The Staff of The Late Show with"/>
    <n v="4.5999999999999996"/>
    <n v="6669"/>
    <n v="2"/>
    <n v="2018"/>
    <x v="0"/>
  </r>
  <r>
    <s v="Wild: From Lost to Found on the Pacific Crest Trail"/>
    <s v="Cheryl Strayed"/>
    <n v="4.4000000000000004"/>
    <n v="17044"/>
    <n v="1"/>
    <n v="2012"/>
    <x v="0"/>
  </r>
  <r>
    <s v="Winter of the World: Book Two of the Century Trilogy"/>
    <s v="Ken Follett"/>
    <n v="4.5"/>
    <n v="10760"/>
    <n v="0"/>
    <n v="2012"/>
    <x v="1"/>
  </r>
  <r>
    <s v="Women Food and God: An Unexpected Path to Almost Everything"/>
    <s v="Geneen Roth"/>
    <n v="4.2"/>
    <n v="1302"/>
    <n v="0"/>
    <n v="2010"/>
    <x v="0"/>
  </r>
  <r>
    <s v="Wonder"/>
    <s v="R. J. Palacio"/>
    <n v="4.8"/>
    <n v="21625"/>
    <n v="0"/>
    <n v="2013"/>
    <x v="1"/>
  </r>
  <r>
    <s v="Wonder"/>
    <s v="R. J. Palacio"/>
    <n v="4.8"/>
    <n v="21625"/>
    <n v="0"/>
    <n v="2014"/>
    <x v="1"/>
  </r>
  <r>
    <s v="Wonder"/>
    <s v="R. J. Palacio"/>
    <n v="4.8"/>
    <n v="21625"/>
    <n v="0"/>
    <n v="2015"/>
    <x v="1"/>
  </r>
  <r>
    <s v="Wonder"/>
    <s v="R. J. Palacio"/>
    <n v="4.8"/>
    <n v="21625"/>
    <n v="0"/>
    <n v="2016"/>
    <x v="1"/>
  </r>
  <r>
    <s v="Wonder"/>
    <s v="R. J. Palacio"/>
    <n v="4.8"/>
    <n v="21625"/>
    <n v="0"/>
    <n v="2017"/>
    <x v="1"/>
  </r>
  <r>
    <s v="Wrecking Ball (Diary of a Wimpy Kid Book 14)"/>
    <s v="Jeff Kinney"/>
    <n v="4.9000000000000004"/>
    <n v="9413"/>
    <n v="0"/>
    <n v="2019"/>
    <x v="1"/>
  </r>
  <r>
    <s v="You Are a Badass: How to Stop Doubting Your Greatness and Start Living an Awesome Life"/>
    <s v="Jen Sincero"/>
    <n v="4.7"/>
    <n v="14331"/>
    <n v="0"/>
    <n v="2016"/>
    <x v="0"/>
  </r>
  <r>
    <s v="You Are a Badass: How to Stop Doubting Your Greatness and Start Living an Awesome Life"/>
    <s v="Jen Sincero"/>
    <n v="4.7"/>
    <n v="14331"/>
    <n v="0"/>
    <n v="2017"/>
    <x v="0"/>
  </r>
  <r>
    <s v="You Are a Badass: How to Stop Doubting Your Greatness and Start Living an Awesome Life"/>
    <s v="Jen Sincero"/>
    <n v="4.7"/>
    <n v="14331"/>
    <n v="0"/>
    <n v="2018"/>
    <x v="0"/>
  </r>
  <r>
    <s v="You Are a Badass: How to Stop Doubting Your Greatness and Start Living an Awesome Life"/>
    <s v="Jen Sincero"/>
    <n v="4.7"/>
    <n v="14331"/>
    <n v="0"/>
    <n v="20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 Table 1" cacheId="6" applyNumberFormats="0" applyBorderFormats="0" applyFontFormats="0" applyPatternFormats="0" applyAlignmentFormats="0" applyWidthHeightFormats="0" dataCaption="" updatedVersion="8" compact="0" compactData="0">
  <location ref="A1:B352" firstHeaderRow="1" firstDataRow="1" firstDataCol="1"/>
  <pivotFields count="8">
    <pivotField name="Name" axis="axisRow" compact="0" outline="0" multipleItemSelectionAllowed="1" showAll="0" sortType="descending">
      <items count="3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autoSortScope>
        <pivotArea>
          <references count="1">
            <reference field="4294967294" count="1">
              <x v="0"/>
            </reference>
          </references>
        </pivotArea>
      </autoSortScope>
    </pivotField>
    <pivotField name="Author" compact="0" outline="0" multipleItemSelectionAllowed="1" showAll="0"/>
    <pivotField name="User Rating" compact="0" outline="0" multipleItemSelectionAllowed="1" showAll="0"/>
    <pivotField name="Reviews" compact="0" outline="0" multipleItemSelectionAllowed="1" showAll="0"/>
    <pivotField name="Price" dataField="1" compact="0" numFmtId="164" outline="0" multipleItemSelectionAllowed="1" showAll="0"/>
    <pivotField name="Year" compact="0" outline="0" multipleItemSelectionAllowed="1" showAll="0"/>
    <pivotField name="Genre" compact="0" outline="0" multipleItemSelectionAllowed="1" showAll="0"/>
    <pivotField name=" " compact="0" outline="0" multipleItemSelectionAllowed="1" showAll="0"/>
  </pivotFields>
  <rowFields count="1">
    <field x="0"/>
  </rowFields>
  <rowItems count="351">
    <i>
      <x v="191"/>
    </i>
    <i>
      <x/>
    </i>
    <i>
      <x v="1"/>
    </i>
    <i>
      <x v="178"/>
    </i>
    <i>
      <x v="9"/>
    </i>
    <i>
      <x v="216"/>
    </i>
    <i>
      <x v="209"/>
    </i>
    <i>
      <x v="90"/>
    </i>
    <i>
      <x v="53"/>
    </i>
    <i>
      <x v="139"/>
    </i>
    <i>
      <x v="2"/>
    </i>
    <i>
      <x v="97"/>
    </i>
    <i>
      <x v="19"/>
    </i>
    <i>
      <x v="41"/>
    </i>
    <i>
      <x v="125"/>
    </i>
    <i>
      <x v="43"/>
    </i>
    <i>
      <x v="152"/>
    </i>
    <i>
      <x v="106"/>
    </i>
    <i>
      <x v="218"/>
    </i>
    <i>
      <x v="30"/>
    </i>
    <i>
      <x v="32"/>
    </i>
    <i>
      <x v="3"/>
    </i>
    <i>
      <x v="4"/>
    </i>
    <i>
      <x v="5"/>
    </i>
    <i>
      <x v="36"/>
    </i>
    <i>
      <x v="94"/>
    </i>
    <i>
      <x v="242"/>
    </i>
    <i>
      <x v="104"/>
    </i>
    <i>
      <x v="10"/>
    </i>
    <i>
      <x v="6"/>
    </i>
    <i>
      <x v="8"/>
    </i>
    <i>
      <x v="14"/>
    </i>
    <i>
      <x v="13"/>
    </i>
    <i>
      <x v="11"/>
    </i>
    <i>
      <x v="12"/>
    </i>
    <i>
      <x v="7"/>
    </i>
    <i>
      <x v="107"/>
    </i>
    <i>
      <x v="47"/>
    </i>
    <i>
      <x v="15"/>
    </i>
    <i>
      <x v="16"/>
    </i>
    <i>
      <x v="240"/>
    </i>
    <i>
      <x v="17"/>
    </i>
    <i>
      <x v="18"/>
    </i>
    <i>
      <x v="61"/>
    </i>
    <i>
      <x v="56"/>
    </i>
    <i>
      <x v="68"/>
    </i>
    <i>
      <x v="150"/>
    </i>
    <i>
      <x v="20"/>
    </i>
    <i>
      <x v="171"/>
    </i>
    <i>
      <x v="168"/>
    </i>
    <i>
      <x v="21"/>
    </i>
    <i>
      <x v="80"/>
    </i>
    <i>
      <x v="170"/>
    </i>
    <i>
      <x v="82"/>
    </i>
    <i>
      <x v="77"/>
    </i>
    <i>
      <x v="309"/>
    </i>
    <i>
      <x v="87"/>
    </i>
    <i>
      <x v="188"/>
    </i>
    <i>
      <x v="22"/>
    </i>
    <i>
      <x v="23"/>
    </i>
    <i>
      <x v="239"/>
    </i>
    <i>
      <x v="99"/>
    </i>
    <i>
      <x v="26"/>
    </i>
    <i>
      <x v="25"/>
    </i>
    <i>
      <x v="122"/>
    </i>
    <i>
      <x v="27"/>
    </i>
    <i>
      <x v="24"/>
    </i>
    <i>
      <x v="28"/>
    </i>
    <i>
      <x v="280"/>
    </i>
    <i>
      <x v="108"/>
    </i>
    <i>
      <x v="29"/>
    </i>
    <i>
      <x v="137"/>
    </i>
    <i>
      <x v="132"/>
    </i>
    <i>
      <x v="31"/>
    </i>
    <i>
      <x v="257"/>
    </i>
    <i>
      <x v="123"/>
    </i>
    <i>
      <x v="127"/>
    </i>
    <i>
      <x v="35"/>
    </i>
    <i>
      <x v="34"/>
    </i>
    <i>
      <x v="33"/>
    </i>
    <i>
      <x v="145"/>
    </i>
    <i>
      <x v="268"/>
    </i>
    <i>
      <x v="37"/>
    </i>
    <i>
      <x v="40"/>
    </i>
    <i>
      <x v="39"/>
    </i>
    <i>
      <x v="251"/>
    </i>
    <i>
      <x v="236"/>
    </i>
    <i>
      <x v="38"/>
    </i>
    <i>
      <x v="163"/>
    </i>
    <i>
      <x v="42"/>
    </i>
    <i>
      <x v="190"/>
    </i>
    <i>
      <x v="45"/>
    </i>
    <i>
      <x v="48"/>
    </i>
    <i>
      <x v="193"/>
    </i>
    <i>
      <x v="46"/>
    </i>
    <i>
      <x v="44"/>
    </i>
    <i>
      <x v="185"/>
    </i>
    <i>
      <x v="186"/>
    </i>
    <i>
      <x v="181"/>
    </i>
    <i>
      <x v="262"/>
    </i>
    <i>
      <x v="51"/>
    </i>
    <i>
      <x v="52"/>
    </i>
    <i>
      <x v="50"/>
    </i>
    <i>
      <x v="49"/>
    </i>
    <i>
      <x v="54"/>
    </i>
    <i>
      <x v="57"/>
    </i>
    <i>
      <x v="66"/>
    </i>
    <i>
      <x v="200"/>
    </i>
    <i>
      <x v="327"/>
    </i>
    <i>
      <x v="321"/>
    </i>
    <i>
      <x v="63"/>
    </i>
    <i>
      <x v="62"/>
    </i>
    <i>
      <x v="64"/>
    </i>
    <i>
      <x v="207"/>
    </i>
    <i>
      <x v="58"/>
    </i>
    <i>
      <x v="59"/>
    </i>
    <i>
      <x v="55"/>
    </i>
    <i>
      <x v="67"/>
    </i>
    <i>
      <x v="194"/>
    </i>
    <i>
      <x v="60"/>
    </i>
    <i>
      <x v="195"/>
    </i>
    <i>
      <x v="198"/>
    </i>
    <i>
      <x v="65"/>
    </i>
    <i>
      <x v="311"/>
    </i>
    <i>
      <x v="72"/>
    </i>
    <i>
      <x v="71"/>
    </i>
    <i>
      <x v="70"/>
    </i>
    <i>
      <x v="69"/>
    </i>
    <i>
      <x v="83"/>
    </i>
    <i>
      <x v="74"/>
    </i>
    <i>
      <x v="79"/>
    </i>
    <i>
      <x v="81"/>
    </i>
    <i>
      <x v="78"/>
    </i>
    <i>
      <x v="213"/>
    </i>
    <i>
      <x v="75"/>
    </i>
    <i>
      <x v="76"/>
    </i>
    <i>
      <x v="227"/>
    </i>
    <i>
      <x v="221"/>
    </i>
    <i>
      <x v="73"/>
    </i>
    <i>
      <x v="228"/>
    </i>
    <i>
      <x v="95"/>
    </i>
    <i>
      <x v="86"/>
    </i>
    <i>
      <x v="91"/>
    </i>
    <i>
      <x v="85"/>
    </i>
    <i>
      <x v="92"/>
    </i>
    <i>
      <x v="89"/>
    </i>
    <i>
      <x v="93"/>
    </i>
    <i>
      <x v="84"/>
    </i>
    <i>
      <x v="88"/>
    </i>
    <i>
      <x v="249"/>
    </i>
    <i>
      <x v="96"/>
    </i>
    <i>
      <x v="98"/>
    </i>
    <i>
      <x v="102"/>
    </i>
    <i>
      <x v="101"/>
    </i>
    <i>
      <x v="229"/>
    </i>
    <i>
      <x v="250"/>
    </i>
    <i>
      <x v="232"/>
    </i>
    <i>
      <x v="105"/>
    </i>
    <i>
      <x v="103"/>
    </i>
    <i>
      <x v="100"/>
    </i>
    <i>
      <x v="245"/>
    </i>
    <i>
      <x v="319"/>
    </i>
    <i>
      <x v="248"/>
    </i>
    <i>
      <x v="244"/>
    </i>
    <i>
      <x v="121"/>
    </i>
    <i>
      <x v="310"/>
    </i>
    <i>
      <x v="299"/>
    </i>
    <i>
      <x v="117"/>
    </i>
    <i>
      <x v="111"/>
    </i>
    <i>
      <x v="118"/>
    </i>
    <i>
      <x v="115"/>
    </i>
    <i>
      <x v="112"/>
    </i>
    <i>
      <x v="109"/>
    </i>
    <i>
      <x v="114"/>
    </i>
    <i>
      <x v="110"/>
    </i>
    <i>
      <x v="119"/>
    </i>
    <i>
      <x v="116"/>
    </i>
    <i>
      <x v="120"/>
    </i>
    <i>
      <x v="113"/>
    </i>
    <i>
      <x v="267"/>
    </i>
    <i>
      <x v="261"/>
    </i>
    <i>
      <x v="133"/>
    </i>
    <i>
      <x v="128"/>
    </i>
    <i>
      <x v="263"/>
    </i>
    <i>
      <x v="129"/>
    </i>
    <i>
      <x v="126"/>
    </i>
    <i>
      <x v="130"/>
    </i>
    <i>
      <x v="260"/>
    </i>
    <i>
      <x v="131"/>
    </i>
    <i>
      <x v="134"/>
    </i>
    <i>
      <x v="135"/>
    </i>
    <i>
      <x v="265"/>
    </i>
    <i>
      <x v="124"/>
    </i>
    <i>
      <x v="138"/>
    </i>
    <i>
      <x v="136"/>
    </i>
    <i>
      <x v="142"/>
    </i>
    <i>
      <x v="148"/>
    </i>
    <i>
      <x v="146"/>
    </i>
    <i>
      <x v="155"/>
    </i>
    <i>
      <x v="141"/>
    </i>
    <i>
      <x v="156"/>
    </i>
    <i>
      <x v="143"/>
    </i>
    <i>
      <x v="157"/>
    </i>
    <i>
      <x v="147"/>
    </i>
    <i>
      <x v="158"/>
    </i>
    <i>
      <x v="149"/>
    </i>
    <i>
      <x v="159"/>
    </i>
    <i>
      <x v="151"/>
    </i>
    <i>
      <x v="160"/>
    </i>
    <i>
      <x v="153"/>
    </i>
    <i>
      <x v="144"/>
    </i>
    <i>
      <x v="140"/>
    </i>
    <i>
      <x v="154"/>
    </i>
    <i>
      <x v="161"/>
    </i>
    <i>
      <x v="295"/>
    </i>
    <i>
      <x v="176"/>
    </i>
    <i>
      <x v="167"/>
    </i>
    <i>
      <x v="169"/>
    </i>
    <i>
      <x v="164"/>
    </i>
    <i>
      <x v="165"/>
    </i>
    <i>
      <x v="173"/>
    </i>
    <i>
      <x v="166"/>
    </i>
    <i>
      <x v="175"/>
    </i>
    <i>
      <x v="279"/>
    </i>
    <i>
      <x v="177"/>
    </i>
    <i>
      <x v="172"/>
    </i>
    <i>
      <x v="288"/>
    </i>
    <i>
      <x v="162"/>
    </i>
    <i>
      <x v="174"/>
    </i>
    <i>
      <x v="187"/>
    </i>
    <i>
      <x v="179"/>
    </i>
    <i>
      <x v="192"/>
    </i>
    <i>
      <x v="189"/>
    </i>
    <i>
      <x v="182"/>
    </i>
    <i>
      <x v="183"/>
    </i>
    <i>
      <x v="184"/>
    </i>
    <i>
      <x v="180"/>
    </i>
    <i>
      <x v="208"/>
    </i>
    <i>
      <x v="196"/>
    </i>
    <i>
      <x v="312"/>
    </i>
    <i>
      <x v="201"/>
    </i>
    <i>
      <x v="206"/>
    </i>
    <i>
      <x v="202"/>
    </i>
    <i>
      <x v="199"/>
    </i>
    <i>
      <x v="203"/>
    </i>
    <i>
      <x v="197"/>
    </i>
    <i>
      <x v="204"/>
    </i>
    <i>
      <x v="205"/>
    </i>
    <i>
      <x v="315"/>
    </i>
    <i>
      <x v="222"/>
    </i>
    <i>
      <x v="318"/>
    </i>
    <i>
      <x v="224"/>
    </i>
    <i>
      <x v="215"/>
    </i>
    <i>
      <x v="220"/>
    </i>
    <i>
      <x v="211"/>
    </i>
    <i>
      <x v="223"/>
    </i>
    <i>
      <x v="217"/>
    </i>
    <i>
      <x v="225"/>
    </i>
    <i>
      <x v="226"/>
    </i>
    <i>
      <x v="219"/>
    </i>
    <i>
      <x v="212"/>
    </i>
    <i>
      <x v="214"/>
    </i>
    <i>
      <x v="210"/>
    </i>
    <i>
      <x v="238"/>
    </i>
    <i>
      <x v="243"/>
    </i>
    <i>
      <x v="246"/>
    </i>
    <i>
      <x v="252"/>
    </i>
    <i>
      <x v="231"/>
    </i>
    <i>
      <x v="253"/>
    </i>
    <i>
      <x v="256"/>
    </i>
    <i>
      <x v="234"/>
    </i>
    <i>
      <x v="247"/>
    </i>
    <i>
      <x v="254"/>
    </i>
    <i>
      <x v="233"/>
    </i>
    <i>
      <x v="255"/>
    </i>
    <i>
      <x v="241"/>
    </i>
    <i>
      <x v="235"/>
    </i>
    <i>
      <x v="230"/>
    </i>
    <i>
      <x v="237"/>
    </i>
    <i>
      <x v="258"/>
    </i>
    <i>
      <x v="266"/>
    </i>
    <i>
      <x v="259"/>
    </i>
    <i>
      <x v="264"/>
    </i>
    <i>
      <x v="282"/>
    </i>
    <i>
      <x v="294"/>
    </i>
    <i>
      <x v="281"/>
    </i>
    <i>
      <x v="284"/>
    </i>
    <i>
      <x v="296"/>
    </i>
    <i>
      <x v="285"/>
    </i>
    <i>
      <x v="277"/>
    </i>
    <i>
      <x v="286"/>
    </i>
    <i>
      <x v="293"/>
    </i>
    <i>
      <x v="287"/>
    </i>
    <i>
      <x v="270"/>
    </i>
    <i>
      <x v="272"/>
    </i>
    <i>
      <x v="297"/>
    </i>
    <i>
      <x v="273"/>
    </i>
    <i>
      <x v="283"/>
    </i>
    <i>
      <x v="275"/>
    </i>
    <i>
      <x v="274"/>
    </i>
    <i>
      <x v="269"/>
    </i>
    <i>
      <x v="276"/>
    </i>
    <i>
      <x v="290"/>
    </i>
    <i>
      <x v="278"/>
    </i>
    <i>
      <x v="291"/>
    </i>
    <i>
      <x v="292"/>
    </i>
    <i>
      <x v="271"/>
    </i>
    <i>
      <x v="289"/>
    </i>
    <i>
      <x v="303"/>
    </i>
    <i>
      <x v="305"/>
    </i>
    <i>
      <x v="317"/>
    </i>
    <i>
      <x v="298"/>
    </i>
    <i>
      <x v="307"/>
    </i>
    <i>
      <x v="300"/>
    </i>
    <i>
      <x v="316"/>
    </i>
    <i>
      <x v="301"/>
    </i>
    <i>
      <x v="304"/>
    </i>
    <i>
      <x v="302"/>
    </i>
    <i>
      <x v="339"/>
    </i>
    <i>
      <x v="313"/>
    </i>
    <i>
      <x v="308"/>
    </i>
    <i>
      <x v="314"/>
    </i>
    <i>
      <x v="306"/>
    </i>
    <i>
      <x v="330"/>
    </i>
    <i>
      <x v="334"/>
    </i>
    <i>
      <x v="332"/>
    </i>
    <i>
      <x v="324"/>
    </i>
    <i>
      <x v="320"/>
    </i>
    <i>
      <x v="325"/>
    </i>
    <i>
      <x v="331"/>
    </i>
    <i>
      <x v="326"/>
    </i>
    <i>
      <x v="333"/>
    </i>
    <i>
      <x v="336"/>
    </i>
    <i>
      <x v="335"/>
    </i>
    <i>
      <x v="337"/>
    </i>
    <i>
      <x v="329"/>
    </i>
    <i>
      <x v="338"/>
    </i>
    <i>
      <x v="322"/>
    </i>
    <i>
      <x v="323"/>
    </i>
    <i>
      <x v="328"/>
    </i>
    <i>
      <x v="343"/>
    </i>
    <i>
      <x v="342"/>
    </i>
    <i>
      <x v="340"/>
    </i>
    <i>
      <x v="341"/>
    </i>
    <i>
      <x v="344"/>
    </i>
    <i>
      <x v="348"/>
    </i>
    <i>
      <x v="345"/>
    </i>
    <i>
      <x v="349"/>
    </i>
    <i>
      <x v="346"/>
    </i>
    <i>
      <x v="347"/>
    </i>
    <i t="grand">
      <x/>
    </i>
  </rowItems>
  <colItems count="1">
    <i/>
  </colItems>
  <dataFields count="1">
    <dataField name="Sub-total of each book sold" fld="4" baseField="0"/>
  </dataFields>
  <formats count="4">
    <format dxfId="43">
      <pivotArea field="0" type="button" dataOnly="0" labelOnly="1" outline="0" axis="axisRow" fieldPosition="0"/>
    </format>
    <format dxfId="42">
      <pivotArea field="0" type="button" dataOnly="0" labelOnly="1" outline="0" axis="axisRow" fieldPosition="0"/>
    </format>
    <format dxfId="41">
      <pivotArea dataOnly="0" labelOnly="1" outline="0" axis="axisValues" fieldPosition="0"/>
    </format>
    <format dxfId="40">
      <pivotArea dataOnly="0" labelOnly="1" outline="0" axis="axisValues"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 Table 2" cacheId="10" applyNumberFormats="0" applyBorderFormats="0" applyFontFormats="0" applyPatternFormats="0" applyAlignmentFormats="0" applyWidthHeightFormats="0" dataCaption="" updatedVersion="8" compact="0" compactData="0">
  <location ref="A1:B4" firstHeaderRow="1" firstDataRow="1" firstDataCol="1"/>
  <pivotFields count="7">
    <pivotField name="Name" compact="0" outline="0" multipleItemSelectionAllowed="1" showAll="0"/>
    <pivotField name="Author" compact="0" outline="0" multipleItemSelectionAllowed="1" showAll="0"/>
    <pivotField name="User Rating" compact="0" outline="0" multipleItemSelectionAllowed="1" showAll="0"/>
    <pivotField name="Reviews" compact="0" outline="0" multipleItemSelectionAllowed="1" showAll="0"/>
    <pivotField name="Price" compact="0" numFmtId="164" outline="0" multipleItemSelectionAllowed="1" showAll="0"/>
    <pivotField name="Year" dataField="1" compact="0" outline="0" multipleItemSelectionAllowed="1" showAll="0"/>
    <pivotField name="Genre" axis="axisRow" compact="0" outline="0" multipleItemSelectionAllowed="1" showAll="0" sortType="ascending">
      <items count="3">
        <item x="1"/>
        <item x="0"/>
        <item t="default"/>
      </items>
    </pivotField>
  </pivotFields>
  <rowFields count="1">
    <field x="6"/>
  </rowFields>
  <rowItems count="3">
    <i>
      <x/>
    </i>
    <i>
      <x v="1"/>
    </i>
    <i t="grand">
      <x/>
    </i>
  </rowItems>
  <colItems count="1">
    <i/>
  </colItems>
  <dataFields count="1">
    <dataField name="Quantities Sold" fld="5" subtotal="countNums"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 Table 2 2" cacheId="10" applyNumberFormats="0" applyBorderFormats="0" applyFontFormats="0" applyPatternFormats="0" applyAlignmentFormats="0" applyWidthHeightFormats="0" dataCaption="" updatedVersion="8" compact="0" compactData="0">
  <location ref="H2:I5" firstHeaderRow="1" firstDataRow="1" firstDataCol="1"/>
  <pivotFields count="7">
    <pivotField name="Name" compact="0" outline="0" multipleItemSelectionAllowed="1" showAll="0"/>
    <pivotField name="Author" compact="0" outline="0" multipleItemSelectionAllowed="1" showAll="0"/>
    <pivotField name="User Rating" compact="0" outline="0" multipleItemSelectionAllowed="1" showAll="0"/>
    <pivotField name="Reviews" compact="0" outline="0" multipleItemSelectionAllowed="1" showAll="0"/>
    <pivotField name="Price" dataField="1" compact="0" numFmtId="164" outline="0" multipleItemSelectionAllowed="1" showAll="0"/>
    <pivotField name="Year" compact="0" outline="0" multipleItemSelectionAllowed="1" showAll="0"/>
    <pivotField name="Genre" axis="axisRow" compact="0" outline="0" multipleItemSelectionAllowed="1" showAll="0" sortType="ascending">
      <items count="3">
        <item x="1"/>
        <item x="0"/>
        <item t="default"/>
      </items>
    </pivotField>
  </pivotFields>
  <rowFields count="1">
    <field x="6"/>
  </rowFields>
  <rowItems count="3">
    <i>
      <x/>
    </i>
    <i>
      <x v="1"/>
    </i>
    <i t="grand">
      <x/>
    </i>
  </rowItems>
  <colItems count="1">
    <i/>
  </colItems>
  <dataFields count="1">
    <dataField name="Total Amt Sold" fld="4"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01BFC1-65B3-4F07-B37C-7C28B4855CCF}"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Year" colHeaderCaption="Genre">
  <location ref="A3:D16" firstHeaderRow="1" firstDataRow="2" firstDataCol="1"/>
  <pivotFields count="7">
    <pivotField showAll="0"/>
    <pivotField showAll="0"/>
    <pivotField showAll="0"/>
    <pivotField showAll="0"/>
    <pivotField dataField="1" showAll="0"/>
    <pivotField axis="axisRow" showAll="0">
      <items count="13">
        <item x="7"/>
        <item x="6"/>
        <item x="1"/>
        <item x="10"/>
        <item x="9"/>
        <item x="5"/>
        <item x="8"/>
        <item x="0"/>
        <item x="3"/>
        <item x="2"/>
        <item x="4"/>
        <item x="11"/>
        <item t="default"/>
      </items>
    </pivotField>
    <pivotField axis="axisCol" showAll="0">
      <items count="4">
        <item sd="0" x="1"/>
        <item sd="0" x="0"/>
        <item h="1" sd="0" x="2"/>
        <item t="default"/>
      </items>
    </pivotField>
  </pivotFields>
  <rowFields count="1">
    <field x="5"/>
  </rowFields>
  <rowItems count="12">
    <i>
      <x/>
    </i>
    <i>
      <x v="1"/>
    </i>
    <i>
      <x v="2"/>
    </i>
    <i>
      <x v="3"/>
    </i>
    <i>
      <x v="4"/>
    </i>
    <i>
      <x v="5"/>
    </i>
    <i>
      <x v="6"/>
    </i>
    <i>
      <x v="7"/>
    </i>
    <i>
      <x v="8"/>
    </i>
    <i>
      <x v="9"/>
    </i>
    <i>
      <x v="10"/>
    </i>
    <i t="grand">
      <x/>
    </i>
  </rowItems>
  <colFields count="1">
    <field x="6"/>
  </colFields>
  <colItems count="3">
    <i>
      <x/>
    </i>
    <i>
      <x v="1"/>
    </i>
    <i t="grand">
      <x/>
    </i>
  </colItems>
  <dataFields count="1">
    <dataField name="Fiction vs Non-fiction sale in a year" fld="4" baseField="0" baseItem="0"/>
  </dataFields>
  <formats count="6">
    <format dxfId="39">
      <pivotArea dataOnly="0" labelOnly="1" fieldPosition="0">
        <references count="1">
          <reference field="6" count="1">
            <x v="0"/>
          </reference>
        </references>
      </pivotArea>
    </format>
    <format dxfId="38">
      <pivotArea field="6" type="button" dataOnly="0" labelOnly="1" outline="0" axis="axisCol" fieldPosition="0"/>
    </format>
    <format dxfId="37">
      <pivotArea field="5" type="button" dataOnly="0" labelOnly="1" outline="0" axis="axisRow" fieldPosition="0"/>
    </format>
    <format dxfId="36">
      <pivotArea outline="0" collapsedLevelsAreSubtotals="1" fieldPosition="0">
        <references count="1">
          <reference field="6" count="1" selected="0">
            <x v="0"/>
          </reference>
        </references>
      </pivotArea>
    </format>
    <format dxfId="35">
      <pivotArea outline="0" collapsedLevelsAreSubtotals="1" fieldPosition="0">
        <references count="1">
          <reference field="6" count="1" selected="0">
            <x v="1"/>
          </reference>
        </references>
      </pivotArea>
    </format>
    <format dxfId="34">
      <pivotArea grandCol="1" outline="0" collapsedLevelsAreSubtotals="1" fieldPosition="0"/>
    </format>
  </formats>
  <chartFormats count="2">
    <chartFormat chart="21" format="0" series="1">
      <pivotArea type="data" outline="0" fieldPosition="0">
        <references count="2">
          <reference field="4294967294" count="1" selected="0">
            <x v="0"/>
          </reference>
          <reference field="6" count="1" selected="0">
            <x v="0"/>
          </reference>
        </references>
      </pivotArea>
    </chartFormat>
    <chartFormat chart="21" format="1"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 xr10:uid="{07201E9C-41D3-42AA-93BB-C36D2DE10971}" sourceName="Price">
  <extLst>
    <x:ext xmlns:x15="http://schemas.microsoft.com/office/spreadsheetml/2010/11/main" uri="{2F2917AC-EB37-4324-AD4E-5DD8C200BD13}">
      <x15:tableSlicerCache tableId="1"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xr10:uid="{F0C5B123-9D0D-455D-B112-49B83F296F53}" cache="Slicer_Price" caption="Pric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G552">
  <autoFilter ref="A1:G552" xr:uid="{00000000-0009-0000-0100-000001000000}"/>
  <tableColumns count="7">
    <tableColumn id="1" xr3:uid="{00000000-0010-0000-0000-000001000000}" name="Name"/>
    <tableColumn id="2" xr3:uid="{00000000-0010-0000-0000-000002000000}" name="Author"/>
    <tableColumn id="3" xr3:uid="{00000000-0010-0000-0000-000003000000}" name="User Rating"/>
    <tableColumn id="4" xr3:uid="{00000000-0010-0000-0000-000004000000}" name="Reviews"/>
    <tableColumn id="5" xr3:uid="{00000000-0010-0000-0000-000005000000}" name="Price"/>
    <tableColumn id="6" xr3:uid="{00000000-0010-0000-0000-000006000000}" name="Year"/>
    <tableColumn id="7" xr3:uid="{00000000-0010-0000-0000-000007000000}" name="Genre"/>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0"/>
  <sheetViews>
    <sheetView topLeftCell="A3" zoomScaleNormal="100" workbookViewId="0">
      <selection activeCell="H50" sqref="H50"/>
    </sheetView>
  </sheetViews>
  <sheetFormatPr defaultColWidth="14.44140625" defaultRowHeight="15" customHeight="1" x14ac:dyDescent="0.3"/>
  <cols>
    <col min="1" max="1" width="109.6640625" customWidth="1"/>
    <col min="2" max="2" width="29" customWidth="1"/>
    <col min="3" max="3" width="16.109375" bestFit="1" customWidth="1"/>
    <col min="4" max="4" width="13" bestFit="1" customWidth="1"/>
    <col min="5" max="5" width="8.5546875" customWidth="1"/>
    <col min="6" max="6" width="9.5546875" bestFit="1" customWidth="1"/>
    <col min="7" max="7" width="11.109375" bestFit="1" customWidth="1"/>
    <col min="8" max="26" width="8.6640625" customWidth="1"/>
  </cols>
  <sheetData>
    <row r="1" spans="1:12" ht="14.25" customHeight="1" x14ac:dyDescent="0.3">
      <c r="A1" s="1" t="s">
        <v>0</v>
      </c>
      <c r="B1" s="1" t="s">
        <v>1</v>
      </c>
      <c r="C1" s="1" t="s">
        <v>2</v>
      </c>
      <c r="D1" s="1" t="s">
        <v>3</v>
      </c>
      <c r="E1" s="1" t="s">
        <v>4</v>
      </c>
      <c r="F1" s="1" t="s">
        <v>5</v>
      </c>
      <c r="G1" s="1" t="s">
        <v>6</v>
      </c>
      <c r="H1" s="2" t="s">
        <v>7</v>
      </c>
      <c r="I1" s="19" t="s">
        <v>8</v>
      </c>
      <c r="J1" s="20"/>
      <c r="K1" s="20"/>
      <c r="L1" s="21"/>
    </row>
    <row r="2" spans="1:12" ht="14.25" customHeight="1" x14ac:dyDescent="0.3">
      <c r="A2" s="3" t="s">
        <v>9</v>
      </c>
      <c r="B2" s="3" t="s">
        <v>10</v>
      </c>
      <c r="C2" s="3">
        <v>4.7</v>
      </c>
      <c r="D2" s="3">
        <v>17350</v>
      </c>
      <c r="E2" s="4">
        <v>105</v>
      </c>
      <c r="F2" s="3">
        <v>2016</v>
      </c>
      <c r="G2" s="3" t="s">
        <v>11</v>
      </c>
      <c r="I2" s="22"/>
      <c r="J2" s="23"/>
      <c r="K2" s="23"/>
      <c r="L2" s="24"/>
    </row>
    <row r="3" spans="1:12" ht="14.25" customHeight="1" x14ac:dyDescent="0.3">
      <c r="A3" s="3" t="s">
        <v>12</v>
      </c>
      <c r="B3" s="3" t="s">
        <v>13</v>
      </c>
      <c r="C3" s="3">
        <v>4.5999999999999996</v>
      </c>
      <c r="D3" s="3">
        <v>2052</v>
      </c>
      <c r="E3" s="4">
        <v>105</v>
      </c>
      <c r="F3" s="3">
        <v>2011</v>
      </c>
      <c r="G3" s="3" t="s">
        <v>14</v>
      </c>
      <c r="I3" s="22"/>
      <c r="J3" s="23"/>
      <c r="K3" s="23"/>
      <c r="L3" s="24"/>
    </row>
    <row r="4" spans="1:12" ht="14.25" customHeight="1" x14ac:dyDescent="0.3">
      <c r="A4" s="3" t="s">
        <v>15</v>
      </c>
      <c r="B4" s="3" t="s">
        <v>16</v>
      </c>
      <c r="C4" s="3">
        <v>4.7</v>
      </c>
      <c r="D4" s="3">
        <v>18979</v>
      </c>
      <c r="E4" s="4">
        <v>82</v>
      </c>
      <c r="F4" s="3">
        <v>2018</v>
      </c>
      <c r="G4" s="3" t="s">
        <v>11</v>
      </c>
      <c r="I4" s="25"/>
      <c r="J4" s="26"/>
      <c r="K4" s="26"/>
      <c r="L4" s="27"/>
    </row>
    <row r="5" spans="1:12" ht="14.25" customHeight="1" x14ac:dyDescent="0.3">
      <c r="A5" s="3" t="s">
        <v>17</v>
      </c>
      <c r="B5" s="3" t="s">
        <v>18</v>
      </c>
      <c r="C5" s="3">
        <v>4.7</v>
      </c>
      <c r="D5" s="3">
        <v>21424</v>
      </c>
      <c r="E5" s="4">
        <v>54</v>
      </c>
      <c r="F5" s="3">
        <v>2017</v>
      </c>
      <c r="G5" s="3" t="s">
        <v>14</v>
      </c>
    </row>
    <row r="6" spans="1:12" ht="14.25" customHeight="1" x14ac:dyDescent="0.3">
      <c r="A6" s="3" t="s">
        <v>19</v>
      </c>
      <c r="B6" s="3" t="s">
        <v>20</v>
      </c>
      <c r="C6" s="3">
        <v>4.8</v>
      </c>
      <c r="D6" s="3">
        <v>7665</v>
      </c>
      <c r="E6" s="4">
        <v>53</v>
      </c>
      <c r="F6" s="3">
        <v>2019</v>
      </c>
      <c r="G6" s="3" t="s">
        <v>11</v>
      </c>
      <c r="I6" s="28" t="s">
        <v>21</v>
      </c>
      <c r="J6" s="28"/>
      <c r="K6" s="28"/>
      <c r="L6" s="28"/>
    </row>
    <row r="7" spans="1:12" ht="14.25" customHeight="1" x14ac:dyDescent="0.3">
      <c r="A7" s="3" t="s">
        <v>22</v>
      </c>
      <c r="B7" s="3" t="s">
        <v>23</v>
      </c>
      <c r="C7" s="3">
        <v>4.4000000000000004</v>
      </c>
      <c r="D7" s="3">
        <v>12643</v>
      </c>
      <c r="E7" s="4">
        <v>52</v>
      </c>
      <c r="F7" s="3">
        <v>2011</v>
      </c>
      <c r="G7" s="3" t="s">
        <v>14</v>
      </c>
      <c r="I7" s="28"/>
      <c r="J7" s="28"/>
      <c r="K7" s="28"/>
      <c r="L7" s="28"/>
    </row>
    <row r="8" spans="1:12" ht="14.25" customHeight="1" x14ac:dyDescent="0.3">
      <c r="A8" s="3" t="s">
        <v>24</v>
      </c>
      <c r="B8" s="3" t="s">
        <v>23</v>
      </c>
      <c r="C8" s="3">
        <v>4.7</v>
      </c>
      <c r="D8" s="3">
        <v>19735</v>
      </c>
      <c r="E8" s="4">
        <v>46</v>
      </c>
      <c r="F8" s="3">
        <v>2014</v>
      </c>
      <c r="G8" s="3" t="s">
        <v>14</v>
      </c>
      <c r="I8" s="28"/>
      <c r="J8" s="28"/>
      <c r="K8" s="28"/>
      <c r="L8" s="28"/>
    </row>
    <row r="9" spans="1:12" ht="14.25" customHeight="1" x14ac:dyDescent="0.3">
      <c r="A9" s="3" t="s">
        <v>25</v>
      </c>
      <c r="B9" s="3" t="s">
        <v>26</v>
      </c>
      <c r="C9" s="3">
        <v>4.7</v>
      </c>
      <c r="D9" s="3">
        <v>19699</v>
      </c>
      <c r="E9" s="4">
        <v>46</v>
      </c>
      <c r="F9" s="3">
        <v>2017</v>
      </c>
      <c r="G9" s="3" t="s">
        <v>14</v>
      </c>
      <c r="I9" s="28"/>
      <c r="J9" s="28"/>
      <c r="K9" s="28"/>
      <c r="L9" s="28"/>
    </row>
    <row r="10" spans="1:12" ht="14.25" customHeight="1" x14ac:dyDescent="0.3">
      <c r="A10" s="3" t="s">
        <v>27</v>
      </c>
      <c r="B10" s="3" t="s">
        <v>28</v>
      </c>
      <c r="C10" s="3">
        <v>4.7</v>
      </c>
      <c r="D10" s="3">
        <v>5983</v>
      </c>
      <c r="E10" s="4">
        <v>46</v>
      </c>
      <c r="F10" s="3">
        <v>2018</v>
      </c>
      <c r="G10" s="3" t="s">
        <v>11</v>
      </c>
      <c r="I10" s="28"/>
      <c r="J10" s="28"/>
      <c r="K10" s="28"/>
      <c r="L10" s="28"/>
    </row>
    <row r="11" spans="1:12" ht="14.25" customHeight="1" x14ac:dyDescent="0.3">
      <c r="A11" s="3" t="s">
        <v>29</v>
      </c>
      <c r="B11" s="3" t="s">
        <v>30</v>
      </c>
      <c r="C11" s="3">
        <v>4.5999999999999996</v>
      </c>
      <c r="D11" s="3">
        <v>23848</v>
      </c>
      <c r="E11" s="4">
        <v>46</v>
      </c>
      <c r="F11" s="3">
        <v>2016</v>
      </c>
      <c r="G11" s="3" t="s">
        <v>14</v>
      </c>
    </row>
    <row r="12" spans="1:12" ht="14.25" customHeight="1" x14ac:dyDescent="0.3">
      <c r="A12" s="3" t="s">
        <v>29</v>
      </c>
      <c r="B12" s="3" t="s">
        <v>30</v>
      </c>
      <c r="C12" s="3">
        <v>4.5999999999999996</v>
      </c>
      <c r="D12" s="3">
        <v>23848</v>
      </c>
      <c r="E12" s="4">
        <v>46</v>
      </c>
      <c r="F12" s="3">
        <v>2017</v>
      </c>
      <c r="G12" s="3" t="s">
        <v>14</v>
      </c>
    </row>
    <row r="13" spans="1:12" ht="14.25" customHeight="1" x14ac:dyDescent="0.3">
      <c r="A13" s="3" t="s">
        <v>31</v>
      </c>
      <c r="B13" s="3" t="s">
        <v>32</v>
      </c>
      <c r="C13" s="3">
        <v>4.5999999999999996</v>
      </c>
      <c r="D13" s="3">
        <v>460</v>
      </c>
      <c r="E13" s="4">
        <v>46</v>
      </c>
      <c r="F13" s="3">
        <v>2010</v>
      </c>
      <c r="G13" s="3" t="s">
        <v>11</v>
      </c>
    </row>
    <row r="14" spans="1:12" ht="14.25" customHeight="1" x14ac:dyDescent="0.3">
      <c r="A14" s="3" t="s">
        <v>33</v>
      </c>
      <c r="B14" s="3" t="s">
        <v>34</v>
      </c>
      <c r="C14" s="3">
        <v>4.5999999999999996</v>
      </c>
      <c r="D14" s="3">
        <v>4149</v>
      </c>
      <c r="E14" s="4">
        <v>46</v>
      </c>
      <c r="F14" s="3">
        <v>2011</v>
      </c>
      <c r="G14" s="3" t="s">
        <v>11</v>
      </c>
    </row>
    <row r="15" spans="1:12" ht="14.25" customHeight="1" x14ac:dyDescent="0.3">
      <c r="A15" s="3" t="s">
        <v>35</v>
      </c>
      <c r="B15" s="3" t="s">
        <v>36</v>
      </c>
      <c r="C15" s="3">
        <v>4.5</v>
      </c>
      <c r="D15" s="3">
        <v>5153</v>
      </c>
      <c r="E15" s="4">
        <v>46</v>
      </c>
      <c r="F15" s="3">
        <v>2018</v>
      </c>
      <c r="G15" s="3" t="s">
        <v>14</v>
      </c>
    </row>
    <row r="16" spans="1:12" ht="14.25" customHeight="1" x14ac:dyDescent="0.3">
      <c r="A16" s="3" t="s">
        <v>37</v>
      </c>
      <c r="B16" s="3" t="s">
        <v>38</v>
      </c>
      <c r="C16" s="3">
        <v>4.5999999999999996</v>
      </c>
      <c r="D16" s="3">
        <v>5013</v>
      </c>
      <c r="E16" s="4">
        <v>46</v>
      </c>
      <c r="F16" s="3">
        <v>2009</v>
      </c>
      <c r="G16" s="3" t="s">
        <v>11</v>
      </c>
    </row>
    <row r="17" spans="1:7" ht="14.25" customHeight="1" x14ac:dyDescent="0.3">
      <c r="A17" s="3" t="s">
        <v>39</v>
      </c>
      <c r="B17" s="3" t="s">
        <v>40</v>
      </c>
      <c r="C17" s="3">
        <v>4.5</v>
      </c>
      <c r="D17" s="3">
        <v>2313</v>
      </c>
      <c r="E17" s="4">
        <v>46</v>
      </c>
      <c r="F17" s="3">
        <v>2016</v>
      </c>
      <c r="G17" s="3" t="s">
        <v>11</v>
      </c>
    </row>
    <row r="18" spans="1:7" ht="14.25" customHeight="1" x14ac:dyDescent="0.3">
      <c r="A18" s="3" t="s">
        <v>41</v>
      </c>
      <c r="B18" s="3" t="s">
        <v>42</v>
      </c>
      <c r="C18" s="3">
        <v>4.5999999999999996</v>
      </c>
      <c r="D18" s="3">
        <v>2925</v>
      </c>
      <c r="E18" s="4">
        <v>42</v>
      </c>
      <c r="F18" s="3">
        <v>2015</v>
      </c>
      <c r="G18" s="3" t="s">
        <v>11</v>
      </c>
    </row>
    <row r="19" spans="1:7" ht="14.25" customHeight="1" x14ac:dyDescent="0.3">
      <c r="A19" s="3" t="s">
        <v>43</v>
      </c>
      <c r="B19" s="3" t="s">
        <v>42</v>
      </c>
      <c r="C19" s="3">
        <v>4.4000000000000004</v>
      </c>
      <c r="D19" s="3">
        <v>2951</v>
      </c>
      <c r="E19" s="4">
        <v>40</v>
      </c>
      <c r="F19" s="3">
        <v>2015</v>
      </c>
      <c r="G19" s="3" t="s">
        <v>11</v>
      </c>
    </row>
    <row r="20" spans="1:7" ht="14.25" customHeight="1" x14ac:dyDescent="0.3">
      <c r="A20" s="3" t="s">
        <v>44</v>
      </c>
      <c r="B20" s="3" t="s">
        <v>45</v>
      </c>
      <c r="C20" s="3">
        <v>4.5</v>
      </c>
      <c r="D20" s="3">
        <v>2426</v>
      </c>
      <c r="E20" s="4">
        <v>40</v>
      </c>
      <c r="F20" s="3">
        <v>2015</v>
      </c>
      <c r="G20" s="3" t="s">
        <v>11</v>
      </c>
    </row>
    <row r="21" spans="1:7" ht="14.25" customHeight="1" x14ac:dyDescent="0.3">
      <c r="A21" s="3" t="s">
        <v>46</v>
      </c>
      <c r="B21" s="3" t="s">
        <v>47</v>
      </c>
      <c r="C21" s="3">
        <v>4.8</v>
      </c>
      <c r="D21" s="3">
        <v>9198</v>
      </c>
      <c r="E21" s="4">
        <v>40</v>
      </c>
      <c r="F21" s="3">
        <v>2016</v>
      </c>
      <c r="G21" s="3" t="s">
        <v>11</v>
      </c>
    </row>
    <row r="22" spans="1:7" ht="14.25" customHeight="1" x14ac:dyDescent="0.3">
      <c r="A22" s="3" t="s">
        <v>48</v>
      </c>
      <c r="B22" s="3" t="s">
        <v>49</v>
      </c>
      <c r="C22" s="3">
        <v>4.5999999999999996</v>
      </c>
      <c r="D22" s="3">
        <v>36348</v>
      </c>
      <c r="E22" s="4">
        <v>40</v>
      </c>
      <c r="F22" s="3">
        <v>2014</v>
      </c>
      <c r="G22" s="3" t="s">
        <v>14</v>
      </c>
    </row>
    <row r="23" spans="1:7" ht="14.25" customHeight="1" x14ac:dyDescent="0.3">
      <c r="A23" s="3" t="s">
        <v>48</v>
      </c>
      <c r="B23" s="3" t="s">
        <v>49</v>
      </c>
      <c r="C23" s="3">
        <v>4.5999999999999996</v>
      </c>
      <c r="D23" s="3">
        <v>36348</v>
      </c>
      <c r="E23" s="4">
        <v>40</v>
      </c>
      <c r="F23" s="3">
        <v>2015</v>
      </c>
      <c r="G23" s="3" t="s">
        <v>14</v>
      </c>
    </row>
    <row r="24" spans="1:7" ht="14.25" customHeight="1" x14ac:dyDescent="0.3">
      <c r="A24" s="3" t="s">
        <v>50</v>
      </c>
      <c r="B24" s="3" t="s">
        <v>51</v>
      </c>
      <c r="C24" s="3">
        <v>3.9</v>
      </c>
      <c r="D24" s="3">
        <v>6310</v>
      </c>
      <c r="E24" s="4">
        <v>39</v>
      </c>
      <c r="F24" s="3">
        <v>2013</v>
      </c>
      <c r="G24" s="3" t="s">
        <v>14</v>
      </c>
    </row>
    <row r="25" spans="1:7" ht="14.25" customHeight="1" x14ac:dyDescent="0.3">
      <c r="A25" s="3" t="s">
        <v>52</v>
      </c>
      <c r="B25" s="3" t="s">
        <v>53</v>
      </c>
      <c r="C25" s="3">
        <v>4.5999999999999996</v>
      </c>
      <c r="D25" s="3">
        <v>15921</v>
      </c>
      <c r="E25" s="4">
        <v>36</v>
      </c>
      <c r="F25" s="3">
        <v>2015</v>
      </c>
      <c r="G25" s="3" t="s">
        <v>11</v>
      </c>
    </row>
    <row r="26" spans="1:7" ht="14.25" customHeight="1" x14ac:dyDescent="0.3">
      <c r="A26" s="3" t="s">
        <v>54</v>
      </c>
      <c r="B26" s="3" t="s">
        <v>55</v>
      </c>
      <c r="C26" s="3">
        <v>4.3</v>
      </c>
      <c r="D26" s="3">
        <v>12159</v>
      </c>
      <c r="E26" s="4">
        <v>32</v>
      </c>
      <c r="F26" s="3">
        <v>2013</v>
      </c>
      <c r="G26" s="3" t="s">
        <v>14</v>
      </c>
    </row>
    <row r="27" spans="1:7" ht="14.25" customHeight="1" x14ac:dyDescent="0.3">
      <c r="A27" s="3" t="s">
        <v>56</v>
      </c>
      <c r="B27" s="3" t="s">
        <v>57</v>
      </c>
      <c r="C27" s="3">
        <v>4.5999999999999996</v>
      </c>
      <c r="D27" s="3">
        <v>798</v>
      </c>
      <c r="E27" s="4">
        <v>32</v>
      </c>
      <c r="F27" s="3">
        <v>2009</v>
      </c>
      <c r="G27" s="3" t="s">
        <v>11</v>
      </c>
    </row>
    <row r="28" spans="1:7" ht="14.25" customHeight="1" x14ac:dyDescent="0.3">
      <c r="A28" s="3" t="s">
        <v>58</v>
      </c>
      <c r="B28" s="3" t="s">
        <v>59</v>
      </c>
      <c r="C28" s="3">
        <v>4.7</v>
      </c>
      <c r="D28" s="3">
        <v>9374</v>
      </c>
      <c r="E28" s="4">
        <v>30</v>
      </c>
      <c r="F28" s="3">
        <v>2017</v>
      </c>
      <c r="G28" s="3" t="s">
        <v>11</v>
      </c>
    </row>
    <row r="29" spans="1:7" ht="14.25" customHeight="1" x14ac:dyDescent="0.3">
      <c r="A29" s="3" t="s">
        <v>60</v>
      </c>
      <c r="B29" s="3" t="s">
        <v>61</v>
      </c>
      <c r="C29" s="3">
        <v>4.2</v>
      </c>
      <c r="D29" s="3">
        <v>491</v>
      </c>
      <c r="E29" s="4">
        <v>30</v>
      </c>
      <c r="F29" s="3">
        <v>2010</v>
      </c>
      <c r="G29" s="3" t="s">
        <v>11</v>
      </c>
    </row>
    <row r="30" spans="1:7" ht="14.25" customHeight="1" x14ac:dyDescent="0.3">
      <c r="A30" s="3" t="s">
        <v>62</v>
      </c>
      <c r="B30" s="3" t="s">
        <v>63</v>
      </c>
      <c r="C30" s="3">
        <v>4.5999999999999996</v>
      </c>
      <c r="D30" s="3">
        <v>5360</v>
      </c>
      <c r="E30" s="4">
        <v>30</v>
      </c>
      <c r="F30" s="3">
        <v>2015</v>
      </c>
      <c r="G30" s="3" t="s">
        <v>11</v>
      </c>
    </row>
    <row r="31" spans="1:7" ht="14.25" customHeight="1" x14ac:dyDescent="0.3">
      <c r="A31" s="3" t="s">
        <v>64</v>
      </c>
      <c r="B31" s="3" t="s">
        <v>65</v>
      </c>
      <c r="C31" s="3">
        <v>4.5999999999999996</v>
      </c>
      <c r="D31" s="3">
        <v>1909</v>
      </c>
      <c r="E31" s="4">
        <v>30</v>
      </c>
      <c r="F31" s="3">
        <v>2015</v>
      </c>
      <c r="G31" s="3" t="s">
        <v>11</v>
      </c>
    </row>
    <row r="32" spans="1:7" ht="14.25" customHeight="1" x14ac:dyDescent="0.3">
      <c r="A32" s="3" t="s">
        <v>66</v>
      </c>
      <c r="B32" s="3" t="s">
        <v>67</v>
      </c>
      <c r="C32" s="3">
        <v>4.8</v>
      </c>
      <c r="D32" s="3">
        <v>1296</v>
      </c>
      <c r="E32" s="4">
        <v>30</v>
      </c>
      <c r="F32" s="3">
        <v>2012</v>
      </c>
      <c r="G32" s="3" t="s">
        <v>11</v>
      </c>
    </row>
    <row r="33" spans="1:7" ht="14.25" customHeight="1" x14ac:dyDescent="0.3">
      <c r="A33" s="3" t="s">
        <v>68</v>
      </c>
      <c r="B33" s="3" t="s">
        <v>67</v>
      </c>
      <c r="C33" s="3">
        <v>4.7</v>
      </c>
      <c r="D33" s="3">
        <v>615</v>
      </c>
      <c r="E33" s="4">
        <v>28</v>
      </c>
      <c r="F33" s="3">
        <v>2010</v>
      </c>
      <c r="G33" s="3" t="s">
        <v>11</v>
      </c>
    </row>
    <row r="34" spans="1:7" ht="14.25" customHeight="1" x14ac:dyDescent="0.3">
      <c r="A34" s="3" t="s">
        <v>69</v>
      </c>
      <c r="B34" s="3" t="s">
        <v>70</v>
      </c>
      <c r="C34" s="3">
        <v>4.8</v>
      </c>
      <c r="D34" s="3">
        <v>61133</v>
      </c>
      <c r="E34" s="4">
        <v>28</v>
      </c>
      <c r="F34" s="3">
        <v>2018</v>
      </c>
      <c r="G34" s="3" t="s">
        <v>11</v>
      </c>
    </row>
    <row r="35" spans="1:7" ht="14.25" customHeight="1" x14ac:dyDescent="0.3">
      <c r="A35" s="3" t="s">
        <v>69</v>
      </c>
      <c r="B35" s="3" t="s">
        <v>70</v>
      </c>
      <c r="C35" s="3">
        <v>4.8</v>
      </c>
      <c r="D35" s="3">
        <v>61133</v>
      </c>
      <c r="E35" s="4">
        <v>28</v>
      </c>
      <c r="F35" s="3">
        <v>2019</v>
      </c>
      <c r="G35" s="3" t="s">
        <v>11</v>
      </c>
    </row>
    <row r="36" spans="1:7" ht="14.25" customHeight="1" x14ac:dyDescent="0.3">
      <c r="A36" s="3" t="s">
        <v>71</v>
      </c>
      <c r="B36" s="3" t="s">
        <v>72</v>
      </c>
      <c r="C36" s="3">
        <v>4.8</v>
      </c>
      <c r="D36" s="3">
        <v>11113</v>
      </c>
      <c r="E36" s="4">
        <v>28</v>
      </c>
      <c r="F36" s="3">
        <v>2015</v>
      </c>
      <c r="G36" s="3" t="s">
        <v>11</v>
      </c>
    </row>
    <row r="37" spans="1:7" ht="14.25" customHeight="1" x14ac:dyDescent="0.3">
      <c r="A37" s="3" t="s">
        <v>73</v>
      </c>
      <c r="B37" s="3" t="s">
        <v>74</v>
      </c>
      <c r="C37" s="3">
        <v>4.7</v>
      </c>
      <c r="D37" s="3">
        <v>10070</v>
      </c>
      <c r="E37" s="4">
        <v>28</v>
      </c>
      <c r="F37" s="3">
        <v>2015</v>
      </c>
      <c r="G37" s="3" t="s">
        <v>11</v>
      </c>
    </row>
    <row r="38" spans="1:7" ht="14.25" customHeight="1" x14ac:dyDescent="0.3">
      <c r="A38" s="3" t="s">
        <v>73</v>
      </c>
      <c r="B38" s="3" t="s">
        <v>74</v>
      </c>
      <c r="C38" s="3">
        <v>4.7</v>
      </c>
      <c r="D38" s="3">
        <v>10070</v>
      </c>
      <c r="E38" s="4">
        <v>28</v>
      </c>
      <c r="F38" s="3">
        <v>2016</v>
      </c>
      <c r="G38" s="3" t="s">
        <v>11</v>
      </c>
    </row>
    <row r="39" spans="1:7" ht="14.25" customHeight="1" x14ac:dyDescent="0.3">
      <c r="A39" s="3" t="s">
        <v>75</v>
      </c>
      <c r="B39" s="3" t="s">
        <v>76</v>
      </c>
      <c r="C39" s="3">
        <v>4.7</v>
      </c>
      <c r="D39" s="3">
        <v>3729</v>
      </c>
      <c r="E39" s="4">
        <v>27</v>
      </c>
      <c r="F39" s="3">
        <v>2016</v>
      </c>
      <c r="G39" s="3" t="s">
        <v>11</v>
      </c>
    </row>
    <row r="40" spans="1:7" ht="14.25" customHeight="1" x14ac:dyDescent="0.3">
      <c r="A40" s="3" t="s">
        <v>77</v>
      </c>
      <c r="B40" s="3" t="s">
        <v>78</v>
      </c>
      <c r="C40" s="3">
        <v>4.5999999999999996</v>
      </c>
      <c r="D40" s="3">
        <v>9769</v>
      </c>
      <c r="E40" s="4">
        <v>27</v>
      </c>
      <c r="F40" s="3">
        <v>2009</v>
      </c>
      <c r="G40" s="3" t="s">
        <v>14</v>
      </c>
    </row>
    <row r="41" spans="1:7" ht="14.25" customHeight="1" x14ac:dyDescent="0.3">
      <c r="A41" s="3" t="s">
        <v>79</v>
      </c>
      <c r="B41" s="3" t="s">
        <v>57</v>
      </c>
      <c r="C41" s="3">
        <v>4.5</v>
      </c>
      <c r="D41" s="3">
        <v>471</v>
      </c>
      <c r="E41" s="4">
        <v>27</v>
      </c>
      <c r="F41" s="3">
        <v>2010</v>
      </c>
      <c r="G41" s="3" t="s">
        <v>11</v>
      </c>
    </row>
    <row r="42" spans="1:7" ht="14.25" customHeight="1" x14ac:dyDescent="0.3">
      <c r="A42" s="3" t="s">
        <v>80</v>
      </c>
      <c r="B42" s="3" t="s">
        <v>81</v>
      </c>
      <c r="C42" s="3">
        <v>4.9000000000000004</v>
      </c>
      <c r="D42" s="3">
        <v>14344</v>
      </c>
      <c r="E42" s="4">
        <v>27</v>
      </c>
      <c r="F42" s="3">
        <v>2017</v>
      </c>
      <c r="G42" s="3" t="s">
        <v>14</v>
      </c>
    </row>
    <row r="43" spans="1:7" ht="14.25" customHeight="1" x14ac:dyDescent="0.3">
      <c r="A43" s="3" t="s">
        <v>80</v>
      </c>
      <c r="B43" s="3" t="s">
        <v>81</v>
      </c>
      <c r="C43" s="3">
        <v>4.9000000000000004</v>
      </c>
      <c r="D43" s="3">
        <v>14344</v>
      </c>
      <c r="E43" s="4">
        <v>25</v>
      </c>
      <c r="F43" s="3">
        <v>2019</v>
      </c>
      <c r="G43" s="3" t="s">
        <v>14</v>
      </c>
    </row>
    <row r="44" spans="1:7" ht="14.25" customHeight="1" x14ac:dyDescent="0.3">
      <c r="A44" s="3" t="s">
        <v>82</v>
      </c>
      <c r="B44" s="3" t="s">
        <v>83</v>
      </c>
      <c r="C44" s="3">
        <v>4.8</v>
      </c>
      <c r="D44" s="3">
        <v>4505</v>
      </c>
      <c r="E44" s="4">
        <v>25</v>
      </c>
      <c r="F44" s="3">
        <v>2011</v>
      </c>
      <c r="G44" s="3" t="s">
        <v>14</v>
      </c>
    </row>
    <row r="45" spans="1:7" ht="14.25" customHeight="1" x14ac:dyDescent="0.3">
      <c r="A45" s="3" t="s">
        <v>84</v>
      </c>
      <c r="B45" s="3" t="s">
        <v>85</v>
      </c>
      <c r="C45" s="3">
        <v>4.5999999999999996</v>
      </c>
      <c r="D45" s="3">
        <v>10369</v>
      </c>
      <c r="E45" s="4">
        <v>24</v>
      </c>
      <c r="F45" s="3">
        <v>2016</v>
      </c>
      <c r="G45" s="3" t="s">
        <v>11</v>
      </c>
    </row>
    <row r="46" spans="1:7" ht="14.25" customHeight="1" x14ac:dyDescent="0.3">
      <c r="A46" s="3" t="s">
        <v>86</v>
      </c>
      <c r="B46" s="3" t="s">
        <v>87</v>
      </c>
      <c r="C46" s="3">
        <v>4.8</v>
      </c>
      <c r="D46" s="3">
        <v>16244</v>
      </c>
      <c r="E46" s="4">
        <v>24</v>
      </c>
      <c r="F46" s="3">
        <v>2019</v>
      </c>
      <c r="G46" s="3" t="s">
        <v>11</v>
      </c>
    </row>
    <row r="47" spans="1:7" ht="14.25" customHeight="1" x14ac:dyDescent="0.3">
      <c r="A47" s="3" t="s">
        <v>88</v>
      </c>
      <c r="B47" s="3" t="s">
        <v>89</v>
      </c>
      <c r="C47" s="3">
        <v>4.5</v>
      </c>
      <c r="D47" s="3">
        <v>2884</v>
      </c>
      <c r="E47" s="4">
        <v>24</v>
      </c>
      <c r="F47" s="3">
        <v>2014</v>
      </c>
      <c r="G47" s="3" t="s">
        <v>11</v>
      </c>
    </row>
    <row r="48" spans="1:7" ht="14.25" customHeight="1" x14ac:dyDescent="0.3">
      <c r="A48" s="3" t="s">
        <v>90</v>
      </c>
      <c r="B48" s="3" t="s">
        <v>91</v>
      </c>
      <c r="C48" s="3">
        <v>4.7</v>
      </c>
      <c r="D48" s="3">
        <v>22614</v>
      </c>
      <c r="E48" s="4">
        <v>24</v>
      </c>
      <c r="F48" s="3">
        <v>2010</v>
      </c>
      <c r="G48" s="3" t="s">
        <v>14</v>
      </c>
    </row>
    <row r="49" spans="1:7" ht="14.25" customHeight="1" x14ac:dyDescent="0.3">
      <c r="A49" s="3" t="s">
        <v>90</v>
      </c>
      <c r="B49" s="3" t="s">
        <v>91</v>
      </c>
      <c r="C49" s="3">
        <v>4.7</v>
      </c>
      <c r="D49" s="3">
        <v>22614</v>
      </c>
      <c r="E49" s="4">
        <v>24</v>
      </c>
      <c r="F49" s="3">
        <v>2011</v>
      </c>
      <c r="G49" s="3" t="s">
        <v>14</v>
      </c>
    </row>
    <row r="50" spans="1:7" ht="14.25" customHeight="1" x14ac:dyDescent="0.3">
      <c r="A50" s="3" t="s">
        <v>90</v>
      </c>
      <c r="B50" s="3" t="s">
        <v>91</v>
      </c>
      <c r="C50" s="3">
        <v>4.7</v>
      </c>
      <c r="D50" s="3">
        <v>22614</v>
      </c>
      <c r="E50" s="4">
        <v>23</v>
      </c>
      <c r="F50" s="3">
        <v>2012</v>
      </c>
      <c r="G50" s="3" t="s">
        <v>14</v>
      </c>
    </row>
    <row r="51" spans="1:7" ht="14.25" customHeight="1" x14ac:dyDescent="0.3">
      <c r="A51" s="3" t="s">
        <v>92</v>
      </c>
      <c r="B51" s="3" t="s">
        <v>93</v>
      </c>
      <c r="C51" s="3">
        <v>4.7</v>
      </c>
      <c r="D51" s="3">
        <v>4761</v>
      </c>
      <c r="E51" s="4">
        <v>23</v>
      </c>
      <c r="F51" s="3">
        <v>2016</v>
      </c>
      <c r="G51" s="3" t="s">
        <v>11</v>
      </c>
    </row>
    <row r="52" spans="1:7" ht="14.25" customHeight="1" x14ac:dyDescent="0.3">
      <c r="A52" s="3" t="s">
        <v>94</v>
      </c>
      <c r="B52" s="3" t="s">
        <v>95</v>
      </c>
      <c r="C52" s="3">
        <v>4.7</v>
      </c>
      <c r="D52" s="3">
        <v>1542</v>
      </c>
      <c r="E52" s="4">
        <v>23</v>
      </c>
      <c r="F52" s="3">
        <v>2009</v>
      </c>
      <c r="G52" s="3" t="s">
        <v>11</v>
      </c>
    </row>
    <row r="53" spans="1:7" ht="14.25" customHeight="1" x14ac:dyDescent="0.3">
      <c r="A53" s="3" t="s">
        <v>94</v>
      </c>
      <c r="B53" s="3" t="s">
        <v>95</v>
      </c>
      <c r="C53" s="3">
        <v>4.7</v>
      </c>
      <c r="D53" s="3">
        <v>1542</v>
      </c>
      <c r="E53" s="4">
        <v>23</v>
      </c>
      <c r="F53" s="3">
        <v>2010</v>
      </c>
      <c r="G53" s="3" t="s">
        <v>11</v>
      </c>
    </row>
    <row r="54" spans="1:7" ht="14.25" customHeight="1" x14ac:dyDescent="0.3">
      <c r="A54" s="3" t="s">
        <v>94</v>
      </c>
      <c r="B54" s="3" t="s">
        <v>95</v>
      </c>
      <c r="C54" s="3">
        <v>4.7</v>
      </c>
      <c r="D54" s="3">
        <v>1542</v>
      </c>
      <c r="E54" s="4">
        <v>23</v>
      </c>
      <c r="F54" s="3">
        <v>2011</v>
      </c>
      <c r="G54" s="3" t="s">
        <v>11</v>
      </c>
    </row>
    <row r="55" spans="1:7" ht="14.25" customHeight="1" x14ac:dyDescent="0.3">
      <c r="A55" s="3" t="s">
        <v>96</v>
      </c>
      <c r="B55" s="3" t="s">
        <v>97</v>
      </c>
      <c r="C55" s="3">
        <v>4.3</v>
      </c>
      <c r="D55" s="3">
        <v>6143</v>
      </c>
      <c r="E55" s="4">
        <v>22</v>
      </c>
      <c r="F55" s="3">
        <v>2018</v>
      </c>
      <c r="G55" s="3" t="s">
        <v>14</v>
      </c>
    </row>
    <row r="56" spans="1:7" ht="14.25" customHeight="1" x14ac:dyDescent="0.3">
      <c r="A56" s="3" t="s">
        <v>98</v>
      </c>
      <c r="B56" s="3" t="s">
        <v>99</v>
      </c>
      <c r="C56" s="3">
        <v>4.8</v>
      </c>
      <c r="D56" s="3">
        <v>4022</v>
      </c>
      <c r="E56" s="4">
        <v>22</v>
      </c>
      <c r="F56" s="3">
        <v>2015</v>
      </c>
      <c r="G56" s="3" t="s">
        <v>11</v>
      </c>
    </row>
    <row r="57" spans="1:7" ht="14.25" customHeight="1" x14ac:dyDescent="0.3">
      <c r="A57" s="3" t="s">
        <v>100</v>
      </c>
      <c r="B57" s="3" t="s">
        <v>99</v>
      </c>
      <c r="C57" s="3">
        <v>4.8</v>
      </c>
      <c r="D57" s="3">
        <v>3871</v>
      </c>
      <c r="E57" s="4">
        <v>22</v>
      </c>
      <c r="F57" s="3">
        <v>2015</v>
      </c>
      <c r="G57" s="3" t="s">
        <v>11</v>
      </c>
    </row>
    <row r="58" spans="1:7" ht="14.25" customHeight="1" x14ac:dyDescent="0.3">
      <c r="A58" s="3" t="s">
        <v>101</v>
      </c>
      <c r="B58" s="3" t="s">
        <v>102</v>
      </c>
      <c r="C58" s="3">
        <v>4.5999999999999996</v>
      </c>
      <c r="D58" s="3">
        <v>4866</v>
      </c>
      <c r="E58" s="4">
        <v>22</v>
      </c>
      <c r="F58" s="3">
        <v>2010</v>
      </c>
      <c r="G58" s="3" t="s">
        <v>14</v>
      </c>
    </row>
    <row r="59" spans="1:7" ht="14.25" customHeight="1" x14ac:dyDescent="0.3">
      <c r="A59" s="3" t="s">
        <v>101</v>
      </c>
      <c r="B59" s="3" t="s">
        <v>102</v>
      </c>
      <c r="C59" s="3">
        <v>4.5999999999999996</v>
      </c>
      <c r="D59" s="3">
        <v>4866</v>
      </c>
      <c r="E59" s="4">
        <v>22</v>
      </c>
      <c r="F59" s="3">
        <v>2011</v>
      </c>
      <c r="G59" s="3" t="s">
        <v>14</v>
      </c>
    </row>
    <row r="60" spans="1:7" ht="14.25" customHeight="1" x14ac:dyDescent="0.3">
      <c r="A60" s="3" t="s">
        <v>103</v>
      </c>
      <c r="B60" s="3" t="s">
        <v>104</v>
      </c>
      <c r="C60" s="3">
        <v>4.8</v>
      </c>
      <c r="D60" s="3">
        <v>1329</v>
      </c>
      <c r="E60" s="4">
        <v>22</v>
      </c>
      <c r="F60" s="3">
        <v>2013</v>
      </c>
      <c r="G60" s="3" t="s">
        <v>11</v>
      </c>
    </row>
    <row r="61" spans="1:7" ht="14.25" customHeight="1" x14ac:dyDescent="0.3">
      <c r="A61" s="3" t="s">
        <v>105</v>
      </c>
      <c r="B61" s="3" t="s">
        <v>106</v>
      </c>
      <c r="C61" s="3">
        <v>4.4000000000000004</v>
      </c>
      <c r="D61" s="3">
        <v>4642</v>
      </c>
      <c r="E61" s="4">
        <v>21</v>
      </c>
      <c r="F61" s="3">
        <v>2013</v>
      </c>
      <c r="G61" s="3" t="s">
        <v>11</v>
      </c>
    </row>
    <row r="62" spans="1:7" ht="14.25" customHeight="1" x14ac:dyDescent="0.3">
      <c r="A62" s="3" t="s">
        <v>107</v>
      </c>
      <c r="B62" s="3" t="s">
        <v>108</v>
      </c>
      <c r="C62" s="3">
        <v>4.5999999999999996</v>
      </c>
      <c r="D62" s="3">
        <v>1541</v>
      </c>
      <c r="E62" s="4">
        <v>21</v>
      </c>
      <c r="F62" s="3">
        <v>2009</v>
      </c>
      <c r="G62" s="3" t="s">
        <v>14</v>
      </c>
    </row>
    <row r="63" spans="1:7" ht="14.25" customHeight="1" x14ac:dyDescent="0.3">
      <c r="A63" s="3" t="s">
        <v>109</v>
      </c>
      <c r="B63" s="3" t="s">
        <v>108</v>
      </c>
      <c r="C63" s="3">
        <v>4.3</v>
      </c>
      <c r="D63" s="3">
        <v>1924</v>
      </c>
      <c r="E63" s="4">
        <v>21</v>
      </c>
      <c r="F63" s="3">
        <v>2010</v>
      </c>
      <c r="G63" s="3" t="s">
        <v>14</v>
      </c>
    </row>
    <row r="64" spans="1:7" ht="14.25" customHeight="1" x14ac:dyDescent="0.3">
      <c r="A64" s="3" t="s">
        <v>110</v>
      </c>
      <c r="B64" s="3" t="s">
        <v>108</v>
      </c>
      <c r="C64" s="3">
        <v>4.2</v>
      </c>
      <c r="D64" s="3">
        <v>2094</v>
      </c>
      <c r="E64" s="4">
        <v>21</v>
      </c>
      <c r="F64" s="3">
        <v>2011</v>
      </c>
      <c r="G64" s="3" t="s">
        <v>14</v>
      </c>
    </row>
    <row r="65" spans="1:7" ht="14.25" customHeight="1" x14ac:dyDescent="0.3">
      <c r="A65" s="3" t="s">
        <v>111</v>
      </c>
      <c r="B65" s="3" t="s">
        <v>112</v>
      </c>
      <c r="C65" s="3">
        <v>4.8</v>
      </c>
      <c r="D65" s="3">
        <v>10922</v>
      </c>
      <c r="E65" s="4">
        <v>21</v>
      </c>
      <c r="F65" s="3">
        <v>2015</v>
      </c>
      <c r="G65" s="3" t="s">
        <v>14</v>
      </c>
    </row>
    <row r="66" spans="1:7" ht="14.25" customHeight="1" x14ac:dyDescent="0.3">
      <c r="A66" s="3" t="s">
        <v>111</v>
      </c>
      <c r="B66" s="3" t="s">
        <v>112</v>
      </c>
      <c r="C66" s="3">
        <v>4.8</v>
      </c>
      <c r="D66" s="3">
        <v>10922</v>
      </c>
      <c r="E66" s="4">
        <v>21</v>
      </c>
      <c r="F66" s="3">
        <v>2016</v>
      </c>
      <c r="G66" s="3" t="s">
        <v>14</v>
      </c>
    </row>
    <row r="67" spans="1:7" ht="14.25" customHeight="1" x14ac:dyDescent="0.3">
      <c r="A67" s="3" t="s">
        <v>111</v>
      </c>
      <c r="B67" s="3" t="s">
        <v>112</v>
      </c>
      <c r="C67" s="3">
        <v>4.8</v>
      </c>
      <c r="D67" s="3">
        <v>10922</v>
      </c>
      <c r="E67" s="4">
        <v>21</v>
      </c>
      <c r="F67" s="3">
        <v>2017</v>
      </c>
      <c r="G67" s="3" t="s">
        <v>14</v>
      </c>
    </row>
    <row r="68" spans="1:7" ht="14.25" customHeight="1" x14ac:dyDescent="0.3">
      <c r="A68" s="3" t="s">
        <v>111</v>
      </c>
      <c r="B68" s="3" t="s">
        <v>112</v>
      </c>
      <c r="C68" s="3">
        <v>4.8</v>
      </c>
      <c r="D68" s="3">
        <v>10922</v>
      </c>
      <c r="E68" s="4">
        <v>21</v>
      </c>
      <c r="F68" s="3">
        <v>2018</v>
      </c>
      <c r="G68" s="3" t="s">
        <v>14</v>
      </c>
    </row>
    <row r="69" spans="1:7" ht="14.25" customHeight="1" x14ac:dyDescent="0.3">
      <c r="A69" s="3" t="s">
        <v>113</v>
      </c>
      <c r="B69" s="3" t="s">
        <v>114</v>
      </c>
      <c r="C69" s="3">
        <v>4.5999999999999996</v>
      </c>
      <c r="D69" s="3">
        <v>2137</v>
      </c>
      <c r="E69" s="4">
        <v>21</v>
      </c>
      <c r="F69" s="3">
        <v>2010</v>
      </c>
      <c r="G69" s="3" t="s">
        <v>11</v>
      </c>
    </row>
    <row r="70" spans="1:7" ht="14.25" customHeight="1" x14ac:dyDescent="0.3">
      <c r="A70" s="3" t="s">
        <v>115</v>
      </c>
      <c r="B70" s="3" t="s">
        <v>116</v>
      </c>
      <c r="C70" s="3">
        <v>4.5999999999999996</v>
      </c>
      <c r="D70" s="3">
        <v>1651</v>
      </c>
      <c r="E70" s="4">
        <v>20</v>
      </c>
      <c r="F70" s="3">
        <v>2010</v>
      </c>
      <c r="G70" s="3" t="s">
        <v>11</v>
      </c>
    </row>
    <row r="71" spans="1:7" ht="14.25" customHeight="1" x14ac:dyDescent="0.3">
      <c r="A71" s="3" t="s">
        <v>117</v>
      </c>
      <c r="B71" s="3" t="s">
        <v>118</v>
      </c>
      <c r="C71" s="3">
        <v>4.5</v>
      </c>
      <c r="D71" s="3">
        <v>6679</v>
      </c>
      <c r="E71" s="4">
        <v>20</v>
      </c>
      <c r="F71" s="3">
        <v>2013</v>
      </c>
      <c r="G71" s="3" t="s">
        <v>11</v>
      </c>
    </row>
    <row r="72" spans="1:7" ht="14.25" customHeight="1" x14ac:dyDescent="0.3">
      <c r="A72" s="3" t="s">
        <v>117</v>
      </c>
      <c r="B72" s="3" t="s">
        <v>118</v>
      </c>
      <c r="C72" s="3">
        <v>4.5</v>
      </c>
      <c r="D72" s="3">
        <v>6679</v>
      </c>
      <c r="E72" s="4">
        <v>20</v>
      </c>
      <c r="F72" s="3">
        <v>2014</v>
      </c>
      <c r="G72" s="3" t="s">
        <v>11</v>
      </c>
    </row>
    <row r="73" spans="1:7" ht="14.25" customHeight="1" x14ac:dyDescent="0.3">
      <c r="A73" s="3" t="s">
        <v>119</v>
      </c>
      <c r="B73" s="3" t="s">
        <v>83</v>
      </c>
      <c r="C73" s="3">
        <v>4.8</v>
      </c>
      <c r="D73" s="3">
        <v>6812</v>
      </c>
      <c r="E73" s="4">
        <v>20</v>
      </c>
      <c r="F73" s="3">
        <v>2013</v>
      </c>
      <c r="G73" s="3" t="s">
        <v>14</v>
      </c>
    </row>
    <row r="74" spans="1:7" ht="14.25" customHeight="1" x14ac:dyDescent="0.3">
      <c r="A74" s="3" t="s">
        <v>120</v>
      </c>
      <c r="B74" s="3" t="s">
        <v>83</v>
      </c>
      <c r="C74" s="3">
        <v>4.8</v>
      </c>
      <c r="D74" s="3">
        <v>3837</v>
      </c>
      <c r="E74" s="4">
        <v>20</v>
      </c>
      <c r="F74" s="3">
        <v>2009</v>
      </c>
      <c r="G74" s="3" t="s">
        <v>14</v>
      </c>
    </row>
    <row r="75" spans="1:7" ht="14.25" customHeight="1" x14ac:dyDescent="0.3">
      <c r="A75" s="3" t="s">
        <v>121</v>
      </c>
      <c r="B75" s="3" t="s">
        <v>83</v>
      </c>
      <c r="C75" s="3">
        <v>4.8</v>
      </c>
      <c r="D75" s="3">
        <v>6540</v>
      </c>
      <c r="E75" s="4">
        <v>20</v>
      </c>
      <c r="F75" s="3">
        <v>2014</v>
      </c>
      <c r="G75" s="3" t="s">
        <v>14</v>
      </c>
    </row>
    <row r="76" spans="1:7" ht="14.25" customHeight="1" x14ac:dyDescent="0.3">
      <c r="A76" s="3" t="s">
        <v>122</v>
      </c>
      <c r="B76" s="3" t="s">
        <v>123</v>
      </c>
      <c r="C76" s="3">
        <v>4.5999999999999996</v>
      </c>
      <c r="D76" s="3">
        <v>7955</v>
      </c>
      <c r="E76" s="4">
        <v>20</v>
      </c>
      <c r="F76" s="3">
        <v>2019</v>
      </c>
      <c r="G76" s="3" t="s">
        <v>11</v>
      </c>
    </row>
    <row r="77" spans="1:7" ht="14.25" customHeight="1" x14ac:dyDescent="0.3">
      <c r="A77" s="3" t="s">
        <v>124</v>
      </c>
      <c r="B77" s="3" t="s">
        <v>51</v>
      </c>
      <c r="C77" s="3">
        <v>4.5999999999999996</v>
      </c>
      <c r="D77" s="3">
        <v>27098</v>
      </c>
      <c r="E77" s="4">
        <v>20</v>
      </c>
      <c r="F77" s="3">
        <v>2013</v>
      </c>
      <c r="G77" s="3" t="s">
        <v>14</v>
      </c>
    </row>
    <row r="78" spans="1:7" ht="14.25" customHeight="1" x14ac:dyDescent="0.3">
      <c r="A78" s="3" t="s">
        <v>124</v>
      </c>
      <c r="B78" s="3" t="s">
        <v>51</v>
      </c>
      <c r="C78" s="3">
        <v>4.5999999999999996</v>
      </c>
      <c r="D78" s="3">
        <v>27098</v>
      </c>
      <c r="E78" s="4">
        <v>20</v>
      </c>
      <c r="F78" s="3">
        <v>2014</v>
      </c>
      <c r="G78" s="3" t="s">
        <v>14</v>
      </c>
    </row>
    <row r="79" spans="1:7" ht="14.25" customHeight="1" x14ac:dyDescent="0.3">
      <c r="A79" s="3" t="s">
        <v>125</v>
      </c>
      <c r="B79" s="3" t="s">
        <v>51</v>
      </c>
      <c r="C79" s="3">
        <v>4.5</v>
      </c>
      <c r="D79" s="3">
        <v>17684</v>
      </c>
      <c r="E79" s="4">
        <v>20</v>
      </c>
      <c r="F79" s="3">
        <v>2014</v>
      </c>
      <c r="G79" s="3" t="s">
        <v>14</v>
      </c>
    </row>
    <row r="80" spans="1:7" ht="14.25" customHeight="1" x14ac:dyDescent="0.3">
      <c r="A80" s="3" t="s">
        <v>126</v>
      </c>
      <c r="B80" s="3" t="s">
        <v>127</v>
      </c>
      <c r="C80" s="3">
        <v>4.5999999999999996</v>
      </c>
      <c r="D80" s="3">
        <v>37</v>
      </c>
      <c r="E80" s="4">
        <v>20</v>
      </c>
      <c r="F80" s="3">
        <v>2009</v>
      </c>
      <c r="G80" s="3" t="s">
        <v>11</v>
      </c>
    </row>
    <row r="81" spans="1:7" ht="14.25" customHeight="1" x14ac:dyDescent="0.3">
      <c r="A81" s="3" t="s">
        <v>128</v>
      </c>
      <c r="B81" s="3" t="s">
        <v>13</v>
      </c>
      <c r="C81" s="3">
        <v>4.7</v>
      </c>
      <c r="D81" s="3">
        <v>15845</v>
      </c>
      <c r="E81" s="4">
        <v>20</v>
      </c>
      <c r="F81" s="3">
        <v>2013</v>
      </c>
      <c r="G81" s="3" t="s">
        <v>14</v>
      </c>
    </row>
    <row r="82" spans="1:7" ht="14.25" customHeight="1" x14ac:dyDescent="0.3">
      <c r="A82" s="3" t="s">
        <v>129</v>
      </c>
      <c r="B82" s="3" t="s">
        <v>83</v>
      </c>
      <c r="C82" s="3">
        <v>4.8</v>
      </c>
      <c r="D82" s="3">
        <v>3181</v>
      </c>
      <c r="E82" s="4">
        <v>20</v>
      </c>
      <c r="F82" s="3">
        <v>2009</v>
      </c>
      <c r="G82" s="3" t="s">
        <v>14</v>
      </c>
    </row>
    <row r="83" spans="1:7" ht="14.25" customHeight="1" x14ac:dyDescent="0.3">
      <c r="A83" s="3" t="s">
        <v>130</v>
      </c>
      <c r="B83" s="3" t="s">
        <v>131</v>
      </c>
      <c r="C83" s="3">
        <v>4.9000000000000004</v>
      </c>
      <c r="D83" s="3">
        <v>5062</v>
      </c>
      <c r="E83" s="4">
        <v>20</v>
      </c>
      <c r="F83" s="3">
        <v>2018</v>
      </c>
      <c r="G83" s="3" t="s">
        <v>14</v>
      </c>
    </row>
    <row r="84" spans="1:7" ht="14.25" customHeight="1" x14ac:dyDescent="0.3">
      <c r="A84" s="3" t="s">
        <v>132</v>
      </c>
      <c r="B84" s="3" t="s">
        <v>131</v>
      </c>
      <c r="C84" s="3">
        <v>4.9000000000000004</v>
      </c>
      <c r="D84" s="3">
        <v>4786</v>
      </c>
      <c r="E84" s="4">
        <v>20</v>
      </c>
      <c r="F84" s="3">
        <v>2017</v>
      </c>
      <c r="G84" s="3" t="s">
        <v>14</v>
      </c>
    </row>
    <row r="85" spans="1:7" ht="14.25" customHeight="1" x14ac:dyDescent="0.3">
      <c r="A85" s="3" t="s">
        <v>133</v>
      </c>
      <c r="B85" s="3" t="s">
        <v>131</v>
      </c>
      <c r="C85" s="3">
        <v>4.9000000000000004</v>
      </c>
      <c r="D85" s="3">
        <v>7235</v>
      </c>
      <c r="E85" s="4">
        <v>20</v>
      </c>
      <c r="F85" s="3">
        <v>2018</v>
      </c>
      <c r="G85" s="3" t="s">
        <v>14</v>
      </c>
    </row>
    <row r="86" spans="1:7" ht="14.25" customHeight="1" x14ac:dyDescent="0.3">
      <c r="A86" s="3" t="s">
        <v>133</v>
      </c>
      <c r="B86" s="3" t="s">
        <v>131</v>
      </c>
      <c r="C86" s="3">
        <v>4.9000000000000004</v>
      </c>
      <c r="D86" s="3">
        <v>7235</v>
      </c>
      <c r="E86" s="4">
        <v>20</v>
      </c>
      <c r="F86" s="3">
        <v>2019</v>
      </c>
      <c r="G86" s="3" t="s">
        <v>14</v>
      </c>
    </row>
    <row r="87" spans="1:7" ht="14.25" customHeight="1" x14ac:dyDescent="0.3">
      <c r="A87" s="3" t="s">
        <v>134</v>
      </c>
      <c r="B87" s="3" t="s">
        <v>131</v>
      </c>
      <c r="C87" s="3">
        <v>4.9000000000000004</v>
      </c>
      <c r="D87" s="3">
        <v>12619</v>
      </c>
      <c r="E87" s="4">
        <v>19</v>
      </c>
      <c r="F87" s="3">
        <v>2019</v>
      </c>
      <c r="G87" s="3" t="s">
        <v>14</v>
      </c>
    </row>
    <row r="88" spans="1:7" ht="14.25" customHeight="1" x14ac:dyDescent="0.3">
      <c r="A88" s="3" t="s">
        <v>135</v>
      </c>
      <c r="B88" s="3" t="s">
        <v>131</v>
      </c>
      <c r="C88" s="3">
        <v>4.9000000000000004</v>
      </c>
      <c r="D88" s="3">
        <v>9089</v>
      </c>
      <c r="E88" s="4">
        <v>19</v>
      </c>
      <c r="F88" s="3">
        <v>2019</v>
      </c>
      <c r="G88" s="3" t="s">
        <v>14</v>
      </c>
    </row>
    <row r="89" spans="1:7" ht="14.25" customHeight="1" x14ac:dyDescent="0.3">
      <c r="A89" s="3" t="s">
        <v>136</v>
      </c>
      <c r="B89" s="3" t="s">
        <v>131</v>
      </c>
      <c r="C89" s="3">
        <v>4.9000000000000004</v>
      </c>
      <c r="D89" s="3">
        <v>5470</v>
      </c>
      <c r="E89" s="4">
        <v>19</v>
      </c>
      <c r="F89" s="3">
        <v>2018</v>
      </c>
      <c r="G89" s="3" t="s">
        <v>14</v>
      </c>
    </row>
    <row r="90" spans="1:7" ht="14.25" customHeight="1" x14ac:dyDescent="0.3">
      <c r="A90" s="3" t="s">
        <v>137</v>
      </c>
      <c r="B90" s="3" t="s">
        <v>83</v>
      </c>
      <c r="C90" s="3">
        <v>4.8</v>
      </c>
      <c r="D90" s="3">
        <v>5118</v>
      </c>
      <c r="E90" s="4">
        <v>19</v>
      </c>
      <c r="F90" s="3">
        <v>2016</v>
      </c>
      <c r="G90" s="3" t="s">
        <v>14</v>
      </c>
    </row>
    <row r="91" spans="1:7" ht="14.25" customHeight="1" x14ac:dyDescent="0.3">
      <c r="A91" s="3" t="s">
        <v>138</v>
      </c>
      <c r="B91" s="3" t="s">
        <v>139</v>
      </c>
      <c r="C91" s="3">
        <v>4.5999999999999996</v>
      </c>
      <c r="D91" s="3">
        <v>2134</v>
      </c>
      <c r="E91" s="4">
        <v>18</v>
      </c>
      <c r="F91" s="3">
        <v>2015</v>
      </c>
      <c r="G91" s="3" t="s">
        <v>11</v>
      </c>
    </row>
    <row r="92" spans="1:7" ht="14.25" customHeight="1" x14ac:dyDescent="0.3">
      <c r="A92" s="3" t="s">
        <v>140</v>
      </c>
      <c r="B92" s="3" t="s">
        <v>141</v>
      </c>
      <c r="C92" s="3">
        <v>4.5</v>
      </c>
      <c r="D92" s="3">
        <v>2525</v>
      </c>
      <c r="E92" s="4">
        <v>18</v>
      </c>
      <c r="F92" s="3">
        <v>2010</v>
      </c>
      <c r="G92" s="3" t="s">
        <v>11</v>
      </c>
    </row>
    <row r="93" spans="1:7" ht="14.25" customHeight="1" x14ac:dyDescent="0.3">
      <c r="A93" s="3" t="s">
        <v>142</v>
      </c>
      <c r="B93" s="3" t="s">
        <v>143</v>
      </c>
      <c r="C93" s="3">
        <v>4.5</v>
      </c>
      <c r="D93" s="3">
        <v>720</v>
      </c>
      <c r="E93" s="4">
        <v>18</v>
      </c>
      <c r="F93" s="3">
        <v>2009</v>
      </c>
      <c r="G93" s="3" t="s">
        <v>11</v>
      </c>
    </row>
    <row r="94" spans="1:7" ht="14.25" customHeight="1" x14ac:dyDescent="0.3">
      <c r="A94" s="3" t="s">
        <v>144</v>
      </c>
      <c r="B94" s="3" t="s">
        <v>143</v>
      </c>
      <c r="C94" s="3">
        <v>4.3</v>
      </c>
      <c r="D94" s="3">
        <v>956</v>
      </c>
      <c r="E94" s="4">
        <v>18</v>
      </c>
      <c r="F94" s="3">
        <v>2009</v>
      </c>
      <c r="G94" s="3" t="s">
        <v>11</v>
      </c>
    </row>
    <row r="95" spans="1:7" ht="14.25" customHeight="1" x14ac:dyDescent="0.3">
      <c r="A95" s="3" t="s">
        <v>145</v>
      </c>
      <c r="B95" s="3" t="s">
        <v>146</v>
      </c>
      <c r="C95" s="3">
        <v>4.5</v>
      </c>
      <c r="D95" s="3">
        <v>6346</v>
      </c>
      <c r="E95" s="4">
        <v>18</v>
      </c>
      <c r="F95" s="3">
        <v>2011</v>
      </c>
      <c r="G95" s="3" t="s">
        <v>11</v>
      </c>
    </row>
    <row r="96" spans="1:7" ht="14.25" customHeight="1" x14ac:dyDescent="0.3">
      <c r="A96" s="3" t="s">
        <v>145</v>
      </c>
      <c r="B96" s="3" t="s">
        <v>146</v>
      </c>
      <c r="C96" s="3">
        <v>4.5</v>
      </c>
      <c r="D96" s="3">
        <v>6346</v>
      </c>
      <c r="E96" s="4">
        <v>18</v>
      </c>
      <c r="F96" s="3">
        <v>2012</v>
      </c>
      <c r="G96" s="3" t="s">
        <v>11</v>
      </c>
    </row>
    <row r="97" spans="1:7" ht="14.25" customHeight="1" x14ac:dyDescent="0.3">
      <c r="A97" s="3" t="s">
        <v>147</v>
      </c>
      <c r="B97" s="3" t="s">
        <v>78</v>
      </c>
      <c r="C97" s="3">
        <v>4.7</v>
      </c>
      <c r="D97" s="3">
        <v>5505</v>
      </c>
      <c r="E97" s="4">
        <v>18</v>
      </c>
      <c r="F97" s="3">
        <v>2009</v>
      </c>
      <c r="G97" s="3" t="s">
        <v>14</v>
      </c>
    </row>
    <row r="98" spans="1:7" ht="14.25" customHeight="1" x14ac:dyDescent="0.3">
      <c r="A98" s="3" t="s">
        <v>148</v>
      </c>
      <c r="B98" s="3" t="s">
        <v>78</v>
      </c>
      <c r="C98" s="3">
        <v>4.7</v>
      </c>
      <c r="D98" s="3">
        <v>5505</v>
      </c>
      <c r="E98" s="4">
        <v>18</v>
      </c>
      <c r="F98" s="3">
        <v>2009</v>
      </c>
      <c r="G98" s="3" t="s">
        <v>14</v>
      </c>
    </row>
    <row r="99" spans="1:7" ht="14.25" customHeight="1" x14ac:dyDescent="0.3">
      <c r="A99" s="3" t="s">
        <v>149</v>
      </c>
      <c r="B99" s="3" t="s">
        <v>150</v>
      </c>
      <c r="C99" s="3">
        <v>4.7</v>
      </c>
      <c r="D99" s="3">
        <v>28729</v>
      </c>
      <c r="E99" s="4">
        <v>18</v>
      </c>
      <c r="F99" s="3">
        <v>2018</v>
      </c>
      <c r="G99" s="3" t="s">
        <v>11</v>
      </c>
    </row>
    <row r="100" spans="1:7" ht="14.25" customHeight="1" x14ac:dyDescent="0.3">
      <c r="A100" s="3" t="s">
        <v>149</v>
      </c>
      <c r="B100" s="3" t="s">
        <v>150</v>
      </c>
      <c r="C100" s="3">
        <v>4.7</v>
      </c>
      <c r="D100" s="3">
        <v>28729</v>
      </c>
      <c r="E100" s="4">
        <v>18</v>
      </c>
      <c r="F100" s="3">
        <v>2019</v>
      </c>
      <c r="G100" s="3" t="s">
        <v>11</v>
      </c>
    </row>
    <row r="101" spans="1:7" ht="14.25" customHeight="1" x14ac:dyDescent="0.3">
      <c r="A101" s="3" t="s">
        <v>151</v>
      </c>
      <c r="B101" s="3" t="s">
        <v>152</v>
      </c>
      <c r="C101" s="3">
        <v>4.7</v>
      </c>
      <c r="D101" s="3">
        <v>5413</v>
      </c>
      <c r="E101" s="4">
        <v>18</v>
      </c>
      <c r="F101" s="3">
        <v>2015</v>
      </c>
      <c r="G101" s="3" t="s">
        <v>11</v>
      </c>
    </row>
    <row r="102" spans="1:7" ht="14.25" customHeight="1" x14ac:dyDescent="0.3">
      <c r="A102" s="3" t="s">
        <v>153</v>
      </c>
      <c r="B102" s="3" t="s">
        <v>154</v>
      </c>
      <c r="C102" s="3">
        <v>4.5999999999999996</v>
      </c>
      <c r="D102" s="3">
        <v>10721</v>
      </c>
      <c r="E102" s="4">
        <v>18</v>
      </c>
      <c r="F102" s="3">
        <v>2016</v>
      </c>
      <c r="G102" s="3" t="s">
        <v>14</v>
      </c>
    </row>
    <row r="103" spans="1:7" ht="14.25" customHeight="1" x14ac:dyDescent="0.3">
      <c r="A103" s="3" t="s">
        <v>153</v>
      </c>
      <c r="B103" s="3" t="s">
        <v>154</v>
      </c>
      <c r="C103" s="3">
        <v>4.5999999999999996</v>
      </c>
      <c r="D103" s="3">
        <v>10721</v>
      </c>
      <c r="E103" s="4">
        <v>18</v>
      </c>
      <c r="F103" s="3">
        <v>2018</v>
      </c>
      <c r="G103" s="3" t="s">
        <v>14</v>
      </c>
    </row>
    <row r="104" spans="1:7" ht="14.25" customHeight="1" x14ac:dyDescent="0.3">
      <c r="A104" s="3" t="s">
        <v>155</v>
      </c>
      <c r="B104" s="3" t="s">
        <v>156</v>
      </c>
      <c r="C104" s="3">
        <v>4.7</v>
      </c>
      <c r="D104" s="3">
        <v>4370</v>
      </c>
      <c r="E104" s="4">
        <v>18</v>
      </c>
      <c r="F104" s="3">
        <v>2016</v>
      </c>
      <c r="G104" s="3" t="s">
        <v>14</v>
      </c>
    </row>
    <row r="105" spans="1:7" ht="14.25" customHeight="1" x14ac:dyDescent="0.3">
      <c r="A105" s="3" t="s">
        <v>157</v>
      </c>
      <c r="B105" s="3" t="s">
        <v>158</v>
      </c>
      <c r="C105" s="3">
        <v>4.4000000000000004</v>
      </c>
      <c r="D105" s="3">
        <v>6042</v>
      </c>
      <c r="E105" s="4">
        <v>17</v>
      </c>
      <c r="F105" s="3">
        <v>2018</v>
      </c>
      <c r="G105" s="3" t="s">
        <v>11</v>
      </c>
    </row>
    <row r="106" spans="1:7" ht="14.25" customHeight="1" x14ac:dyDescent="0.3">
      <c r="A106" s="3" t="s">
        <v>159</v>
      </c>
      <c r="B106" s="3" t="s">
        <v>160</v>
      </c>
      <c r="C106" s="3">
        <v>4.4000000000000004</v>
      </c>
      <c r="D106" s="3">
        <v>23631</v>
      </c>
      <c r="E106" s="4">
        <v>17</v>
      </c>
      <c r="F106" s="3">
        <v>2012</v>
      </c>
      <c r="G106" s="3" t="s">
        <v>14</v>
      </c>
    </row>
    <row r="107" spans="1:7" ht="14.25" customHeight="1" x14ac:dyDescent="0.3">
      <c r="A107" s="3" t="s">
        <v>161</v>
      </c>
      <c r="B107" s="3" t="s">
        <v>160</v>
      </c>
      <c r="C107" s="3">
        <v>4.5</v>
      </c>
      <c r="D107" s="3">
        <v>20262</v>
      </c>
      <c r="E107" s="4">
        <v>17</v>
      </c>
      <c r="F107" s="3">
        <v>2012</v>
      </c>
      <c r="G107" s="3" t="s">
        <v>14</v>
      </c>
    </row>
    <row r="108" spans="1:7" ht="14.25" customHeight="1" x14ac:dyDescent="0.3">
      <c r="A108" s="3" t="s">
        <v>162</v>
      </c>
      <c r="B108" s="3" t="s">
        <v>160</v>
      </c>
      <c r="C108" s="3">
        <v>3.8</v>
      </c>
      <c r="D108" s="3">
        <v>47265</v>
      </c>
      <c r="E108" s="4">
        <v>17</v>
      </c>
      <c r="F108" s="3">
        <v>2012</v>
      </c>
      <c r="G108" s="3" t="s">
        <v>14</v>
      </c>
    </row>
    <row r="109" spans="1:7" ht="14.25" customHeight="1" x14ac:dyDescent="0.3">
      <c r="A109" s="3" t="s">
        <v>162</v>
      </c>
      <c r="B109" s="3" t="s">
        <v>160</v>
      </c>
      <c r="C109" s="3">
        <v>3.8</v>
      </c>
      <c r="D109" s="3">
        <v>47265</v>
      </c>
      <c r="E109" s="4">
        <v>17</v>
      </c>
      <c r="F109" s="3">
        <v>2013</v>
      </c>
      <c r="G109" s="3" t="s">
        <v>14</v>
      </c>
    </row>
    <row r="110" spans="1:7" ht="14.25" customHeight="1" x14ac:dyDescent="0.3">
      <c r="A110" s="3" t="s">
        <v>163</v>
      </c>
      <c r="B110" s="3" t="s">
        <v>160</v>
      </c>
      <c r="C110" s="3">
        <v>4.5</v>
      </c>
      <c r="D110" s="3">
        <v>13964</v>
      </c>
      <c r="E110" s="4">
        <v>17</v>
      </c>
      <c r="F110" s="3">
        <v>2012</v>
      </c>
      <c r="G110" s="3" t="s">
        <v>14</v>
      </c>
    </row>
    <row r="111" spans="1:7" ht="14.25" customHeight="1" x14ac:dyDescent="0.3">
      <c r="A111" s="3" t="s">
        <v>164</v>
      </c>
      <c r="B111" s="3" t="s">
        <v>165</v>
      </c>
      <c r="C111" s="3">
        <v>4.2</v>
      </c>
      <c r="D111" s="3">
        <v>13677</v>
      </c>
      <c r="E111" s="4">
        <v>17</v>
      </c>
      <c r="F111" s="3">
        <v>2018</v>
      </c>
      <c r="G111" s="3" t="s">
        <v>11</v>
      </c>
    </row>
    <row r="112" spans="1:7" ht="14.25" customHeight="1" x14ac:dyDescent="0.3">
      <c r="A112" s="3" t="s">
        <v>166</v>
      </c>
      <c r="B112" s="3" t="s">
        <v>167</v>
      </c>
      <c r="C112" s="3">
        <v>4.7</v>
      </c>
      <c r="D112" s="3">
        <v>17323</v>
      </c>
      <c r="E112" s="4">
        <v>17</v>
      </c>
      <c r="F112" s="3">
        <v>2014</v>
      </c>
      <c r="G112" s="3" t="s">
        <v>11</v>
      </c>
    </row>
    <row r="113" spans="1:7" ht="14.25" customHeight="1" x14ac:dyDescent="0.3">
      <c r="A113" s="3" t="s">
        <v>166</v>
      </c>
      <c r="B113" s="3" t="s">
        <v>167</v>
      </c>
      <c r="C113" s="3">
        <v>4.7</v>
      </c>
      <c r="D113" s="3">
        <v>17323</v>
      </c>
      <c r="E113" s="4">
        <v>17</v>
      </c>
      <c r="F113" s="3">
        <v>2015</v>
      </c>
      <c r="G113" s="3" t="s">
        <v>11</v>
      </c>
    </row>
    <row r="114" spans="1:7" ht="14.25" customHeight="1" x14ac:dyDescent="0.3">
      <c r="A114" s="3" t="s">
        <v>166</v>
      </c>
      <c r="B114" s="3" t="s">
        <v>167</v>
      </c>
      <c r="C114" s="3">
        <v>4.7</v>
      </c>
      <c r="D114" s="3">
        <v>17323</v>
      </c>
      <c r="E114" s="4">
        <v>17</v>
      </c>
      <c r="F114" s="3">
        <v>2016</v>
      </c>
      <c r="G114" s="3" t="s">
        <v>11</v>
      </c>
    </row>
    <row r="115" spans="1:7" ht="14.25" customHeight="1" x14ac:dyDescent="0.3">
      <c r="A115" s="3" t="s">
        <v>166</v>
      </c>
      <c r="B115" s="3" t="s">
        <v>167</v>
      </c>
      <c r="C115" s="3">
        <v>4.7</v>
      </c>
      <c r="D115" s="3">
        <v>17323</v>
      </c>
      <c r="E115" s="4">
        <v>17</v>
      </c>
      <c r="F115" s="3">
        <v>2017</v>
      </c>
      <c r="G115" s="3" t="s">
        <v>11</v>
      </c>
    </row>
    <row r="116" spans="1:7" ht="14.25" customHeight="1" x14ac:dyDescent="0.3">
      <c r="A116" s="3" t="s">
        <v>166</v>
      </c>
      <c r="B116" s="3" t="s">
        <v>167</v>
      </c>
      <c r="C116" s="3">
        <v>4.7</v>
      </c>
      <c r="D116" s="3">
        <v>17323</v>
      </c>
      <c r="E116" s="4">
        <v>17</v>
      </c>
      <c r="F116" s="3">
        <v>2018</v>
      </c>
      <c r="G116" s="3" t="s">
        <v>11</v>
      </c>
    </row>
    <row r="117" spans="1:7" ht="14.25" customHeight="1" x14ac:dyDescent="0.3">
      <c r="A117" s="3" t="s">
        <v>168</v>
      </c>
      <c r="B117" s="3" t="s">
        <v>169</v>
      </c>
      <c r="C117" s="3">
        <v>4.4000000000000004</v>
      </c>
      <c r="D117" s="3">
        <v>1555</v>
      </c>
      <c r="E117" s="4">
        <v>17</v>
      </c>
      <c r="F117" s="3">
        <v>2010</v>
      </c>
      <c r="G117" s="3" t="s">
        <v>11</v>
      </c>
    </row>
    <row r="118" spans="1:7" ht="14.25" customHeight="1" x14ac:dyDescent="0.3">
      <c r="A118" s="3" t="s">
        <v>170</v>
      </c>
      <c r="B118" s="3" t="s">
        <v>171</v>
      </c>
      <c r="C118" s="3">
        <v>4.7</v>
      </c>
      <c r="D118" s="3">
        <v>3642</v>
      </c>
      <c r="E118" s="4">
        <v>17</v>
      </c>
      <c r="F118" s="3">
        <v>2014</v>
      </c>
      <c r="G118" s="3" t="s">
        <v>14</v>
      </c>
    </row>
    <row r="119" spans="1:7" ht="14.25" customHeight="1" x14ac:dyDescent="0.3">
      <c r="A119" s="3" t="s">
        <v>172</v>
      </c>
      <c r="B119" s="3" t="s">
        <v>173</v>
      </c>
      <c r="C119" s="3">
        <v>4.4000000000000004</v>
      </c>
      <c r="D119" s="3">
        <v>1215</v>
      </c>
      <c r="E119" s="4">
        <v>17</v>
      </c>
      <c r="F119" s="3">
        <v>2010</v>
      </c>
      <c r="G119" s="3" t="s">
        <v>11</v>
      </c>
    </row>
    <row r="120" spans="1:7" ht="14.25" customHeight="1" x14ac:dyDescent="0.3">
      <c r="A120" s="3" t="s">
        <v>174</v>
      </c>
      <c r="B120" s="3" t="s">
        <v>175</v>
      </c>
      <c r="C120" s="3">
        <v>4.5999999999999996</v>
      </c>
      <c r="D120" s="3">
        <v>5594</v>
      </c>
      <c r="E120" s="4">
        <v>17</v>
      </c>
      <c r="F120" s="3">
        <v>2011</v>
      </c>
      <c r="G120" s="3" t="s">
        <v>14</v>
      </c>
    </row>
    <row r="121" spans="1:7" ht="14.25" customHeight="1" x14ac:dyDescent="0.3">
      <c r="A121" s="3" t="s">
        <v>174</v>
      </c>
      <c r="B121" s="3" t="s">
        <v>175</v>
      </c>
      <c r="C121" s="3">
        <v>4.5999999999999996</v>
      </c>
      <c r="D121" s="3">
        <v>5594</v>
      </c>
      <c r="E121" s="4">
        <v>17</v>
      </c>
      <c r="F121" s="3">
        <v>2012</v>
      </c>
      <c r="G121" s="3" t="s">
        <v>14</v>
      </c>
    </row>
    <row r="122" spans="1:7" ht="14.25" customHeight="1" x14ac:dyDescent="0.3">
      <c r="A122" s="3" t="s">
        <v>174</v>
      </c>
      <c r="B122" s="3" t="s">
        <v>175</v>
      </c>
      <c r="C122" s="3">
        <v>4.5999999999999996</v>
      </c>
      <c r="D122" s="3">
        <v>5594</v>
      </c>
      <c r="E122" s="4">
        <v>17</v>
      </c>
      <c r="F122" s="3">
        <v>2013</v>
      </c>
      <c r="G122" s="3" t="s">
        <v>14</v>
      </c>
    </row>
    <row r="123" spans="1:7" ht="14.25" customHeight="1" x14ac:dyDescent="0.3">
      <c r="A123" s="3" t="s">
        <v>176</v>
      </c>
      <c r="B123" s="3" t="s">
        <v>177</v>
      </c>
      <c r="C123" s="3">
        <v>4.5</v>
      </c>
      <c r="D123" s="3">
        <v>408</v>
      </c>
      <c r="E123" s="4">
        <v>17</v>
      </c>
      <c r="F123" s="3">
        <v>2010</v>
      </c>
      <c r="G123" s="3" t="s">
        <v>11</v>
      </c>
    </row>
    <row r="124" spans="1:7" ht="14.25" customHeight="1" x14ac:dyDescent="0.3">
      <c r="A124" s="3" t="s">
        <v>178</v>
      </c>
      <c r="B124" s="3" t="s">
        <v>179</v>
      </c>
      <c r="C124" s="3">
        <v>4.5999999999999996</v>
      </c>
      <c r="D124" s="3">
        <v>4799</v>
      </c>
      <c r="E124" s="4">
        <v>16</v>
      </c>
      <c r="F124" s="3">
        <v>2013</v>
      </c>
      <c r="G124" s="3" t="s">
        <v>11</v>
      </c>
    </row>
    <row r="125" spans="1:7" ht="14.25" customHeight="1" x14ac:dyDescent="0.3">
      <c r="A125" s="3" t="s">
        <v>180</v>
      </c>
      <c r="B125" s="3" t="s">
        <v>181</v>
      </c>
      <c r="C125" s="3">
        <v>4.8</v>
      </c>
      <c r="D125" s="3">
        <v>14038</v>
      </c>
      <c r="E125" s="4">
        <v>16</v>
      </c>
      <c r="F125" s="3">
        <v>2015</v>
      </c>
      <c r="G125" s="3" t="s">
        <v>14</v>
      </c>
    </row>
    <row r="126" spans="1:7" ht="14.25" customHeight="1" x14ac:dyDescent="0.3">
      <c r="A126" s="3" t="s">
        <v>180</v>
      </c>
      <c r="B126" s="3" t="s">
        <v>181</v>
      </c>
      <c r="C126" s="3">
        <v>4.8</v>
      </c>
      <c r="D126" s="3">
        <v>14038</v>
      </c>
      <c r="E126" s="4">
        <v>16</v>
      </c>
      <c r="F126" s="3">
        <v>2016</v>
      </c>
      <c r="G126" s="3" t="s">
        <v>14</v>
      </c>
    </row>
    <row r="127" spans="1:7" ht="14.25" customHeight="1" x14ac:dyDescent="0.3">
      <c r="A127" s="3" t="s">
        <v>180</v>
      </c>
      <c r="B127" s="3" t="s">
        <v>181</v>
      </c>
      <c r="C127" s="3">
        <v>4.8</v>
      </c>
      <c r="D127" s="3">
        <v>14038</v>
      </c>
      <c r="E127" s="4">
        <v>16</v>
      </c>
      <c r="F127" s="3">
        <v>2017</v>
      </c>
      <c r="G127" s="3" t="s">
        <v>14</v>
      </c>
    </row>
    <row r="128" spans="1:7" ht="14.25" customHeight="1" x14ac:dyDescent="0.3">
      <c r="A128" s="3" t="s">
        <v>180</v>
      </c>
      <c r="B128" s="3" t="s">
        <v>181</v>
      </c>
      <c r="C128" s="3">
        <v>4.8</v>
      </c>
      <c r="D128" s="3">
        <v>14038</v>
      </c>
      <c r="E128" s="4">
        <v>16</v>
      </c>
      <c r="F128" s="3">
        <v>2018</v>
      </c>
      <c r="G128" s="3" t="s">
        <v>14</v>
      </c>
    </row>
    <row r="129" spans="1:7" ht="14.25" customHeight="1" x14ac:dyDescent="0.3">
      <c r="A129" s="3" t="s">
        <v>180</v>
      </c>
      <c r="B129" s="3" t="s">
        <v>181</v>
      </c>
      <c r="C129" s="3">
        <v>4.8</v>
      </c>
      <c r="D129" s="3">
        <v>14038</v>
      </c>
      <c r="E129" s="4">
        <v>16</v>
      </c>
      <c r="F129" s="3">
        <v>2019</v>
      </c>
      <c r="G129" s="3" t="s">
        <v>14</v>
      </c>
    </row>
    <row r="130" spans="1:7" ht="14.25" customHeight="1" x14ac:dyDescent="0.3">
      <c r="A130" s="3" t="s">
        <v>182</v>
      </c>
      <c r="B130" s="3" t="s">
        <v>183</v>
      </c>
      <c r="C130" s="3">
        <v>4.5999999999999996</v>
      </c>
      <c r="D130" s="3">
        <v>7660</v>
      </c>
      <c r="E130" s="4">
        <v>16</v>
      </c>
      <c r="F130" s="3">
        <v>2019</v>
      </c>
      <c r="G130" s="3" t="s">
        <v>11</v>
      </c>
    </row>
    <row r="131" spans="1:7" ht="14.25" customHeight="1" x14ac:dyDescent="0.3">
      <c r="A131" s="3" t="s">
        <v>184</v>
      </c>
      <c r="B131" s="3" t="s">
        <v>183</v>
      </c>
      <c r="C131" s="3">
        <v>4.5999999999999996</v>
      </c>
      <c r="D131" s="3">
        <v>22288</v>
      </c>
      <c r="E131" s="4">
        <v>16</v>
      </c>
      <c r="F131" s="3">
        <v>2018</v>
      </c>
      <c r="G131" s="3" t="s">
        <v>11</v>
      </c>
    </row>
    <row r="132" spans="1:7" ht="14.25" customHeight="1" x14ac:dyDescent="0.3">
      <c r="A132" s="3" t="s">
        <v>184</v>
      </c>
      <c r="B132" s="3" t="s">
        <v>183</v>
      </c>
      <c r="C132" s="3">
        <v>4.5999999999999996</v>
      </c>
      <c r="D132" s="3">
        <v>22288</v>
      </c>
      <c r="E132" s="4">
        <v>16</v>
      </c>
      <c r="F132" s="3">
        <v>2019</v>
      </c>
      <c r="G132" s="3" t="s">
        <v>11</v>
      </c>
    </row>
    <row r="133" spans="1:7" ht="14.25" customHeight="1" x14ac:dyDescent="0.3">
      <c r="A133" s="3" t="s">
        <v>185</v>
      </c>
      <c r="B133" s="3" t="s">
        <v>57</v>
      </c>
      <c r="C133" s="3">
        <v>4.5999999999999996</v>
      </c>
      <c r="D133" s="3">
        <v>1365</v>
      </c>
      <c r="E133" s="4">
        <v>16</v>
      </c>
      <c r="F133" s="3">
        <v>2009</v>
      </c>
      <c r="G133" s="3" t="s">
        <v>11</v>
      </c>
    </row>
    <row r="134" spans="1:7" ht="14.25" customHeight="1" x14ac:dyDescent="0.3">
      <c r="A134" s="3" t="s">
        <v>186</v>
      </c>
      <c r="B134" s="3" t="s">
        <v>187</v>
      </c>
      <c r="C134" s="3">
        <v>3.6</v>
      </c>
      <c r="D134" s="3">
        <v>14982</v>
      </c>
      <c r="E134" s="4">
        <v>16</v>
      </c>
      <c r="F134" s="3">
        <v>2015</v>
      </c>
      <c r="G134" s="3" t="s">
        <v>14</v>
      </c>
    </row>
    <row r="135" spans="1:7" ht="14.25" customHeight="1" x14ac:dyDescent="0.3">
      <c r="A135" s="3" t="s">
        <v>188</v>
      </c>
      <c r="B135" s="3" t="s">
        <v>189</v>
      </c>
      <c r="C135" s="3">
        <v>4.8</v>
      </c>
      <c r="D135" s="3">
        <v>9568</v>
      </c>
      <c r="E135" s="4">
        <v>16</v>
      </c>
      <c r="F135" s="3">
        <v>2011</v>
      </c>
      <c r="G135" s="3" t="s">
        <v>14</v>
      </c>
    </row>
    <row r="136" spans="1:7" ht="14.25" customHeight="1" x14ac:dyDescent="0.3">
      <c r="A136" s="3" t="s">
        <v>190</v>
      </c>
      <c r="B136" s="3" t="s">
        <v>191</v>
      </c>
      <c r="C136" s="3">
        <v>4.5999999999999996</v>
      </c>
      <c r="D136" s="3">
        <v>1636</v>
      </c>
      <c r="E136" s="4">
        <v>16</v>
      </c>
      <c r="F136" s="3">
        <v>2009</v>
      </c>
      <c r="G136" s="3" t="s">
        <v>11</v>
      </c>
    </row>
    <row r="137" spans="1:7" ht="14.25" customHeight="1" x14ac:dyDescent="0.3">
      <c r="A137" s="3" t="s">
        <v>192</v>
      </c>
      <c r="B137" s="3" t="s">
        <v>193</v>
      </c>
      <c r="C137" s="3">
        <v>4</v>
      </c>
      <c r="D137" s="3">
        <v>57271</v>
      </c>
      <c r="E137" s="4">
        <v>16</v>
      </c>
      <c r="F137" s="3">
        <v>2012</v>
      </c>
      <c r="G137" s="3" t="s">
        <v>14</v>
      </c>
    </row>
    <row r="138" spans="1:7" ht="14.25" customHeight="1" x14ac:dyDescent="0.3">
      <c r="A138" s="3" t="s">
        <v>192</v>
      </c>
      <c r="B138" s="3" t="s">
        <v>193</v>
      </c>
      <c r="C138" s="3">
        <v>4</v>
      </c>
      <c r="D138" s="3">
        <v>57271</v>
      </c>
      <c r="E138" s="4">
        <v>16</v>
      </c>
      <c r="F138" s="3">
        <v>2013</v>
      </c>
      <c r="G138" s="3" t="s">
        <v>14</v>
      </c>
    </row>
    <row r="139" spans="1:7" ht="14.25" customHeight="1" x14ac:dyDescent="0.3">
      <c r="A139" s="3" t="s">
        <v>192</v>
      </c>
      <c r="B139" s="3" t="s">
        <v>193</v>
      </c>
      <c r="C139" s="3">
        <v>4</v>
      </c>
      <c r="D139" s="3">
        <v>57271</v>
      </c>
      <c r="E139" s="4">
        <v>16</v>
      </c>
      <c r="F139" s="3">
        <v>2014</v>
      </c>
      <c r="G139" s="3" t="s">
        <v>14</v>
      </c>
    </row>
    <row r="140" spans="1:7" ht="14.25" customHeight="1" x14ac:dyDescent="0.3">
      <c r="A140" s="3" t="s">
        <v>194</v>
      </c>
      <c r="B140" s="3" t="s">
        <v>195</v>
      </c>
      <c r="C140" s="3">
        <v>4.5999999999999996</v>
      </c>
      <c r="D140" s="3">
        <v>10141</v>
      </c>
      <c r="E140" s="4">
        <v>16</v>
      </c>
      <c r="F140" s="3">
        <v>2019</v>
      </c>
      <c r="G140" s="3" t="s">
        <v>11</v>
      </c>
    </row>
    <row r="141" spans="1:7" ht="14.25" customHeight="1" x14ac:dyDescent="0.3">
      <c r="A141" s="3" t="s">
        <v>196</v>
      </c>
      <c r="B141" s="3" t="s">
        <v>197</v>
      </c>
      <c r="C141" s="3">
        <v>4.5</v>
      </c>
      <c r="D141" s="3">
        <v>3457</v>
      </c>
      <c r="E141" s="4">
        <v>16</v>
      </c>
      <c r="F141" s="3">
        <v>2009</v>
      </c>
      <c r="G141" s="3" t="s">
        <v>11</v>
      </c>
    </row>
    <row r="142" spans="1:7" ht="14.25" customHeight="1" x14ac:dyDescent="0.3">
      <c r="A142" s="3" t="s">
        <v>196</v>
      </c>
      <c r="B142" s="3" t="s">
        <v>197</v>
      </c>
      <c r="C142" s="3">
        <v>4.5</v>
      </c>
      <c r="D142" s="3">
        <v>3457</v>
      </c>
      <c r="E142" s="4">
        <v>16</v>
      </c>
      <c r="F142" s="3">
        <v>2010</v>
      </c>
      <c r="G142" s="3" t="s">
        <v>11</v>
      </c>
    </row>
    <row r="143" spans="1:7" ht="14.25" customHeight="1" x14ac:dyDescent="0.3">
      <c r="A143" s="3" t="s">
        <v>196</v>
      </c>
      <c r="B143" s="3" t="s">
        <v>197</v>
      </c>
      <c r="C143" s="3">
        <v>4.5</v>
      </c>
      <c r="D143" s="3">
        <v>3457</v>
      </c>
      <c r="E143" s="4">
        <v>16</v>
      </c>
      <c r="F143" s="3">
        <v>2011</v>
      </c>
      <c r="G143" s="3" t="s">
        <v>11</v>
      </c>
    </row>
    <row r="144" spans="1:7" ht="14.25" customHeight="1" x14ac:dyDescent="0.3">
      <c r="A144" s="3" t="s">
        <v>196</v>
      </c>
      <c r="B144" s="3" t="s">
        <v>197</v>
      </c>
      <c r="C144" s="3">
        <v>4.5</v>
      </c>
      <c r="D144" s="3">
        <v>3457</v>
      </c>
      <c r="E144" s="4">
        <v>15</v>
      </c>
      <c r="F144" s="3">
        <v>2012</v>
      </c>
      <c r="G144" s="3" t="s">
        <v>11</v>
      </c>
    </row>
    <row r="145" spans="1:7" ht="14.25" customHeight="1" x14ac:dyDescent="0.3">
      <c r="A145" s="3" t="s">
        <v>198</v>
      </c>
      <c r="B145" s="3" t="s">
        <v>199</v>
      </c>
      <c r="C145" s="3">
        <v>4.8</v>
      </c>
      <c r="D145" s="3">
        <v>8837</v>
      </c>
      <c r="E145" s="4">
        <v>15</v>
      </c>
      <c r="F145" s="3">
        <v>2017</v>
      </c>
      <c r="G145" s="3" t="s">
        <v>14</v>
      </c>
    </row>
    <row r="146" spans="1:7" ht="14.25" customHeight="1" x14ac:dyDescent="0.3">
      <c r="A146" s="3" t="s">
        <v>198</v>
      </c>
      <c r="B146" s="3" t="s">
        <v>199</v>
      </c>
      <c r="C146" s="3">
        <v>4.8</v>
      </c>
      <c r="D146" s="3">
        <v>8837</v>
      </c>
      <c r="E146" s="4">
        <v>15</v>
      </c>
      <c r="F146" s="3">
        <v>2018</v>
      </c>
      <c r="G146" s="3" t="s">
        <v>14</v>
      </c>
    </row>
    <row r="147" spans="1:7" ht="14.25" customHeight="1" x14ac:dyDescent="0.3">
      <c r="A147" s="3" t="s">
        <v>198</v>
      </c>
      <c r="B147" s="3" t="s">
        <v>199</v>
      </c>
      <c r="C147" s="3">
        <v>4.8</v>
      </c>
      <c r="D147" s="3">
        <v>8837</v>
      </c>
      <c r="E147" s="4">
        <v>15</v>
      </c>
      <c r="F147" s="3">
        <v>2019</v>
      </c>
      <c r="G147" s="3" t="s">
        <v>14</v>
      </c>
    </row>
    <row r="148" spans="1:7" ht="14.25" customHeight="1" x14ac:dyDescent="0.3">
      <c r="A148" s="3" t="s">
        <v>200</v>
      </c>
      <c r="B148" s="3" t="s">
        <v>201</v>
      </c>
      <c r="C148" s="3">
        <v>4.9000000000000004</v>
      </c>
      <c r="D148" s="3">
        <v>7038</v>
      </c>
      <c r="E148" s="4">
        <v>15</v>
      </c>
      <c r="F148" s="3">
        <v>2012</v>
      </c>
      <c r="G148" s="3" t="s">
        <v>14</v>
      </c>
    </row>
    <row r="149" spans="1:7" ht="14.25" customHeight="1" x14ac:dyDescent="0.3">
      <c r="A149" s="3" t="s">
        <v>200</v>
      </c>
      <c r="B149" s="3" t="s">
        <v>201</v>
      </c>
      <c r="C149" s="3">
        <v>4.9000000000000004</v>
      </c>
      <c r="D149" s="3">
        <v>7038</v>
      </c>
      <c r="E149" s="4">
        <v>15</v>
      </c>
      <c r="F149" s="3">
        <v>2013</v>
      </c>
      <c r="G149" s="3" t="s">
        <v>14</v>
      </c>
    </row>
    <row r="150" spans="1:7" ht="14.25" customHeight="1" x14ac:dyDescent="0.3">
      <c r="A150" s="3" t="s">
        <v>202</v>
      </c>
      <c r="B150" s="3" t="s">
        <v>203</v>
      </c>
      <c r="C150" s="3">
        <v>4.5999999999999996</v>
      </c>
      <c r="D150" s="3">
        <v>5972</v>
      </c>
      <c r="E150" s="4">
        <v>15</v>
      </c>
      <c r="F150" s="3">
        <v>2014</v>
      </c>
      <c r="G150" s="3" t="s">
        <v>11</v>
      </c>
    </row>
    <row r="151" spans="1:7" ht="14.25" customHeight="1" x14ac:dyDescent="0.3">
      <c r="A151" s="3" t="s">
        <v>204</v>
      </c>
      <c r="B151" s="3" t="s">
        <v>160</v>
      </c>
      <c r="C151" s="3">
        <v>4.4000000000000004</v>
      </c>
      <c r="D151" s="3">
        <v>25624</v>
      </c>
      <c r="E151" s="4">
        <v>15</v>
      </c>
      <c r="F151" s="3">
        <v>2015</v>
      </c>
      <c r="G151" s="3" t="s">
        <v>14</v>
      </c>
    </row>
    <row r="152" spans="1:7" ht="14.25" customHeight="1" x14ac:dyDescent="0.3">
      <c r="A152" s="3" t="s">
        <v>205</v>
      </c>
      <c r="B152" s="3" t="s">
        <v>206</v>
      </c>
      <c r="C152" s="3">
        <v>4.8</v>
      </c>
      <c r="D152" s="3">
        <v>5476</v>
      </c>
      <c r="E152" s="4">
        <v>15</v>
      </c>
      <c r="F152" s="3">
        <v>2019</v>
      </c>
      <c r="G152" s="3" t="s">
        <v>11</v>
      </c>
    </row>
    <row r="153" spans="1:7" ht="14.25" customHeight="1" x14ac:dyDescent="0.3">
      <c r="A153" s="3" t="s">
        <v>207</v>
      </c>
      <c r="B153" s="3" t="s">
        <v>208</v>
      </c>
      <c r="C153" s="3">
        <v>4.9000000000000004</v>
      </c>
      <c r="D153" s="3">
        <v>5867</v>
      </c>
      <c r="E153" s="4">
        <v>15</v>
      </c>
      <c r="F153" s="3">
        <v>2016</v>
      </c>
      <c r="G153" s="3" t="s">
        <v>11</v>
      </c>
    </row>
    <row r="154" spans="1:7" ht="14.25" customHeight="1" x14ac:dyDescent="0.3">
      <c r="A154" s="3" t="s">
        <v>209</v>
      </c>
      <c r="B154" s="3" t="s">
        <v>210</v>
      </c>
      <c r="C154" s="3">
        <v>4.8</v>
      </c>
      <c r="D154" s="3">
        <v>4148</v>
      </c>
      <c r="E154" s="4">
        <v>15</v>
      </c>
      <c r="F154" s="3">
        <v>2013</v>
      </c>
      <c r="G154" s="3" t="s">
        <v>11</v>
      </c>
    </row>
    <row r="155" spans="1:7" ht="14.25" customHeight="1" x14ac:dyDescent="0.3">
      <c r="A155" s="3" t="s">
        <v>211</v>
      </c>
      <c r="B155" s="3" t="s">
        <v>156</v>
      </c>
      <c r="C155" s="3">
        <v>4.9000000000000004</v>
      </c>
      <c r="D155" s="3">
        <v>19622</v>
      </c>
      <c r="E155" s="4">
        <v>15</v>
      </c>
      <c r="F155" s="3">
        <v>2016</v>
      </c>
      <c r="G155" s="3" t="s">
        <v>14</v>
      </c>
    </row>
    <row r="156" spans="1:7" ht="14.25" customHeight="1" x14ac:dyDescent="0.3">
      <c r="A156" s="3" t="s">
        <v>212</v>
      </c>
      <c r="B156" s="3" t="s">
        <v>156</v>
      </c>
      <c r="C156" s="3">
        <v>4</v>
      </c>
      <c r="D156" s="3">
        <v>23973</v>
      </c>
      <c r="E156" s="4">
        <v>15</v>
      </c>
      <c r="F156" s="3">
        <v>2016</v>
      </c>
      <c r="G156" s="3" t="s">
        <v>14</v>
      </c>
    </row>
    <row r="157" spans="1:7" ht="14.25" customHeight="1" x14ac:dyDescent="0.3">
      <c r="A157" s="3" t="s">
        <v>213</v>
      </c>
      <c r="B157" s="3" t="s">
        <v>214</v>
      </c>
      <c r="C157" s="3">
        <v>4.9000000000000004</v>
      </c>
      <c r="D157" s="3">
        <v>7758</v>
      </c>
      <c r="E157" s="4">
        <v>15</v>
      </c>
      <c r="F157" s="3">
        <v>2019</v>
      </c>
      <c r="G157" s="3" t="s">
        <v>14</v>
      </c>
    </row>
    <row r="158" spans="1:7" ht="14.25" customHeight="1" x14ac:dyDescent="0.3">
      <c r="A158" s="3" t="s">
        <v>215</v>
      </c>
      <c r="B158" s="3" t="s">
        <v>156</v>
      </c>
      <c r="C158" s="3">
        <v>4.9000000000000004</v>
      </c>
      <c r="D158" s="3">
        <v>3146</v>
      </c>
      <c r="E158" s="4">
        <v>15</v>
      </c>
      <c r="F158" s="3">
        <v>2017</v>
      </c>
      <c r="G158" s="3" t="s">
        <v>14</v>
      </c>
    </row>
    <row r="159" spans="1:7" ht="14.25" customHeight="1" x14ac:dyDescent="0.3">
      <c r="A159" s="3" t="s">
        <v>216</v>
      </c>
      <c r="B159" s="3" t="s">
        <v>156</v>
      </c>
      <c r="C159" s="3">
        <v>4.9000000000000004</v>
      </c>
      <c r="D159" s="3">
        <v>10052</v>
      </c>
      <c r="E159" s="4">
        <v>15</v>
      </c>
      <c r="F159" s="3">
        <v>2016</v>
      </c>
      <c r="G159" s="3" t="s">
        <v>14</v>
      </c>
    </row>
    <row r="160" spans="1:7" ht="14.25" customHeight="1" x14ac:dyDescent="0.3">
      <c r="A160" s="3" t="s">
        <v>217</v>
      </c>
      <c r="B160" s="3" t="s">
        <v>218</v>
      </c>
      <c r="C160" s="3">
        <v>4.7</v>
      </c>
      <c r="D160" s="3">
        <v>3564</v>
      </c>
      <c r="E160" s="4">
        <v>15</v>
      </c>
      <c r="F160" s="3">
        <v>2015</v>
      </c>
      <c r="G160" s="3" t="s">
        <v>11</v>
      </c>
    </row>
    <row r="161" spans="1:7" ht="14.25" customHeight="1" x14ac:dyDescent="0.3">
      <c r="A161" s="3" t="s">
        <v>219</v>
      </c>
      <c r="B161" s="3" t="s">
        <v>214</v>
      </c>
      <c r="C161" s="3">
        <v>4.8</v>
      </c>
      <c r="D161" s="3">
        <v>13471</v>
      </c>
      <c r="E161" s="4">
        <v>15</v>
      </c>
      <c r="F161" s="3">
        <v>2016</v>
      </c>
      <c r="G161" s="3" t="s">
        <v>14</v>
      </c>
    </row>
    <row r="162" spans="1:7" ht="14.25" customHeight="1" x14ac:dyDescent="0.3">
      <c r="A162" s="3" t="s">
        <v>220</v>
      </c>
      <c r="B162" s="3" t="s">
        <v>221</v>
      </c>
      <c r="C162" s="3">
        <v>4.8</v>
      </c>
      <c r="D162" s="3">
        <v>1930</v>
      </c>
      <c r="E162" s="4">
        <v>15</v>
      </c>
      <c r="F162" s="3">
        <v>2009</v>
      </c>
      <c r="G162" s="3" t="s">
        <v>11</v>
      </c>
    </row>
    <row r="163" spans="1:7" ht="14.25" customHeight="1" x14ac:dyDescent="0.3">
      <c r="A163" s="3" t="s">
        <v>222</v>
      </c>
      <c r="B163" s="3" t="s">
        <v>223</v>
      </c>
      <c r="C163" s="3">
        <v>4.7</v>
      </c>
      <c r="D163" s="3">
        <v>15779</v>
      </c>
      <c r="E163" s="4">
        <v>15</v>
      </c>
      <c r="F163" s="3">
        <v>2011</v>
      </c>
      <c r="G163" s="3" t="s">
        <v>11</v>
      </c>
    </row>
    <row r="164" spans="1:7" ht="14.25" customHeight="1" x14ac:dyDescent="0.3">
      <c r="A164" s="3" t="s">
        <v>222</v>
      </c>
      <c r="B164" s="3" t="s">
        <v>223</v>
      </c>
      <c r="C164" s="3">
        <v>4.7</v>
      </c>
      <c r="D164" s="3">
        <v>15779</v>
      </c>
      <c r="E164" s="4">
        <v>15</v>
      </c>
      <c r="F164" s="3">
        <v>2012</v>
      </c>
      <c r="G164" s="3" t="s">
        <v>11</v>
      </c>
    </row>
    <row r="165" spans="1:7" ht="14.25" customHeight="1" x14ac:dyDescent="0.3">
      <c r="A165" s="3" t="s">
        <v>224</v>
      </c>
      <c r="B165" s="3" t="s">
        <v>225</v>
      </c>
      <c r="C165" s="3">
        <v>4.4000000000000004</v>
      </c>
      <c r="D165" s="3">
        <v>15526</v>
      </c>
      <c r="E165" s="4">
        <v>14</v>
      </c>
      <c r="F165" s="3">
        <v>2016</v>
      </c>
      <c r="G165" s="3" t="s">
        <v>11</v>
      </c>
    </row>
    <row r="166" spans="1:7" ht="14.25" customHeight="1" x14ac:dyDescent="0.3">
      <c r="A166" s="3" t="s">
        <v>224</v>
      </c>
      <c r="B166" s="3" t="s">
        <v>225</v>
      </c>
      <c r="C166" s="3">
        <v>4.4000000000000004</v>
      </c>
      <c r="D166" s="3">
        <v>15526</v>
      </c>
      <c r="E166" s="4">
        <v>14</v>
      </c>
      <c r="F166" s="3">
        <v>2017</v>
      </c>
      <c r="G166" s="3" t="s">
        <v>11</v>
      </c>
    </row>
    <row r="167" spans="1:7" ht="14.25" customHeight="1" x14ac:dyDescent="0.3">
      <c r="A167" s="3" t="s">
        <v>226</v>
      </c>
      <c r="B167" s="3" t="s">
        <v>227</v>
      </c>
      <c r="C167" s="3">
        <v>4.8</v>
      </c>
      <c r="D167" s="3">
        <v>3776</v>
      </c>
      <c r="E167" s="4">
        <v>14</v>
      </c>
      <c r="F167" s="3">
        <v>2018</v>
      </c>
      <c r="G167" s="3" t="s">
        <v>11</v>
      </c>
    </row>
    <row r="168" spans="1:7" ht="14.25" customHeight="1" x14ac:dyDescent="0.3">
      <c r="A168" s="3" t="s">
        <v>228</v>
      </c>
      <c r="B168" s="3" t="s">
        <v>229</v>
      </c>
      <c r="C168" s="3">
        <v>4.7</v>
      </c>
      <c r="D168" s="3">
        <v>25001</v>
      </c>
      <c r="E168" s="4">
        <v>14</v>
      </c>
      <c r="F168" s="3">
        <v>2014</v>
      </c>
      <c r="G168" s="3" t="s">
        <v>11</v>
      </c>
    </row>
    <row r="169" spans="1:7" ht="14.25" customHeight="1" x14ac:dyDescent="0.3">
      <c r="A169" s="3" t="s">
        <v>228</v>
      </c>
      <c r="B169" s="3" t="s">
        <v>229</v>
      </c>
      <c r="C169" s="3">
        <v>4.7</v>
      </c>
      <c r="D169" s="3">
        <v>25001</v>
      </c>
      <c r="E169" s="4">
        <v>14</v>
      </c>
      <c r="F169" s="3">
        <v>2015</v>
      </c>
      <c r="G169" s="3" t="s">
        <v>11</v>
      </c>
    </row>
    <row r="170" spans="1:7" ht="14.25" customHeight="1" x14ac:dyDescent="0.3">
      <c r="A170" s="3" t="s">
        <v>228</v>
      </c>
      <c r="B170" s="3" t="s">
        <v>229</v>
      </c>
      <c r="C170" s="3">
        <v>4.7</v>
      </c>
      <c r="D170" s="3">
        <v>25001</v>
      </c>
      <c r="E170" s="4">
        <v>14</v>
      </c>
      <c r="F170" s="3">
        <v>2016</v>
      </c>
      <c r="G170" s="3" t="s">
        <v>11</v>
      </c>
    </row>
    <row r="171" spans="1:7" ht="14.25" customHeight="1" x14ac:dyDescent="0.3">
      <c r="A171" s="3" t="s">
        <v>228</v>
      </c>
      <c r="B171" s="3" t="s">
        <v>229</v>
      </c>
      <c r="C171" s="3">
        <v>4.7</v>
      </c>
      <c r="D171" s="3">
        <v>25001</v>
      </c>
      <c r="E171" s="4">
        <v>14</v>
      </c>
      <c r="F171" s="3">
        <v>2017</v>
      </c>
      <c r="G171" s="3" t="s">
        <v>11</v>
      </c>
    </row>
    <row r="172" spans="1:7" ht="14.25" customHeight="1" x14ac:dyDescent="0.3">
      <c r="A172" s="3" t="s">
        <v>228</v>
      </c>
      <c r="B172" s="3" t="s">
        <v>229</v>
      </c>
      <c r="C172" s="3">
        <v>4.7</v>
      </c>
      <c r="D172" s="3">
        <v>25001</v>
      </c>
      <c r="E172" s="4">
        <v>14</v>
      </c>
      <c r="F172" s="3">
        <v>2018</v>
      </c>
      <c r="G172" s="3" t="s">
        <v>11</v>
      </c>
    </row>
    <row r="173" spans="1:7" ht="14.25" customHeight="1" x14ac:dyDescent="0.3">
      <c r="A173" s="3" t="s">
        <v>230</v>
      </c>
      <c r="B173" s="3" t="s">
        <v>231</v>
      </c>
      <c r="C173" s="3">
        <v>4.3</v>
      </c>
      <c r="D173" s="3">
        <v>5272</v>
      </c>
      <c r="E173" s="4">
        <v>14</v>
      </c>
      <c r="F173" s="3">
        <v>2019</v>
      </c>
      <c r="G173" s="3" t="s">
        <v>11</v>
      </c>
    </row>
    <row r="174" spans="1:7" ht="14.25" customHeight="1" x14ac:dyDescent="0.3">
      <c r="A174" s="3" t="s">
        <v>232</v>
      </c>
      <c r="B174" s="3" t="s">
        <v>233</v>
      </c>
      <c r="C174" s="3">
        <v>4.8</v>
      </c>
      <c r="D174" s="3">
        <v>3490</v>
      </c>
      <c r="E174" s="4">
        <v>14</v>
      </c>
      <c r="F174" s="3">
        <v>2013</v>
      </c>
      <c r="G174" s="3" t="s">
        <v>11</v>
      </c>
    </row>
    <row r="175" spans="1:7" ht="14.25" customHeight="1" x14ac:dyDescent="0.3">
      <c r="A175" s="3" t="s">
        <v>232</v>
      </c>
      <c r="B175" s="3" t="s">
        <v>233</v>
      </c>
      <c r="C175" s="3">
        <v>4.8</v>
      </c>
      <c r="D175" s="3">
        <v>3490</v>
      </c>
      <c r="E175" s="4">
        <v>14</v>
      </c>
      <c r="F175" s="3">
        <v>2014</v>
      </c>
      <c r="G175" s="3" t="s">
        <v>11</v>
      </c>
    </row>
    <row r="176" spans="1:7" ht="14.25" customHeight="1" x14ac:dyDescent="0.3">
      <c r="A176" s="3" t="s">
        <v>234</v>
      </c>
      <c r="B176" s="3" t="s">
        <v>233</v>
      </c>
      <c r="C176" s="3">
        <v>4.9000000000000004</v>
      </c>
      <c r="D176" s="3">
        <v>2812</v>
      </c>
      <c r="E176" s="4">
        <v>14</v>
      </c>
      <c r="F176" s="3">
        <v>2015</v>
      </c>
      <c r="G176" s="3" t="s">
        <v>11</v>
      </c>
    </row>
    <row r="177" spans="1:7" ht="14.25" customHeight="1" x14ac:dyDescent="0.3">
      <c r="A177" s="3" t="s">
        <v>235</v>
      </c>
      <c r="B177" s="3" t="s">
        <v>236</v>
      </c>
      <c r="C177" s="3">
        <v>4.7</v>
      </c>
      <c r="D177" s="3">
        <v>4896</v>
      </c>
      <c r="E177" s="4">
        <v>14</v>
      </c>
      <c r="F177" s="3">
        <v>2013</v>
      </c>
      <c r="G177" s="3" t="s">
        <v>11</v>
      </c>
    </row>
    <row r="178" spans="1:7" ht="14.25" customHeight="1" x14ac:dyDescent="0.3">
      <c r="A178" s="3" t="s">
        <v>237</v>
      </c>
      <c r="B178" s="3" t="s">
        <v>238</v>
      </c>
      <c r="C178" s="3">
        <v>4.8</v>
      </c>
      <c r="D178" s="3">
        <v>9737</v>
      </c>
      <c r="E178" s="4">
        <v>14</v>
      </c>
      <c r="F178" s="3">
        <v>2019</v>
      </c>
      <c r="G178" s="3" t="s">
        <v>11</v>
      </c>
    </row>
    <row r="179" spans="1:7" ht="14.25" customHeight="1" x14ac:dyDescent="0.3">
      <c r="A179" s="3" t="s">
        <v>239</v>
      </c>
      <c r="B179" s="3" t="s">
        <v>240</v>
      </c>
      <c r="C179" s="3">
        <v>4.5999999999999996</v>
      </c>
      <c r="D179" s="3">
        <v>1320</v>
      </c>
      <c r="E179" s="4">
        <v>14</v>
      </c>
      <c r="F179" s="3">
        <v>2009</v>
      </c>
      <c r="G179" s="3" t="s">
        <v>14</v>
      </c>
    </row>
    <row r="180" spans="1:7" ht="14.25" customHeight="1" x14ac:dyDescent="0.3">
      <c r="A180" s="3" t="s">
        <v>241</v>
      </c>
      <c r="B180" s="3" t="s">
        <v>242</v>
      </c>
      <c r="C180" s="3">
        <v>4.8</v>
      </c>
      <c r="D180" s="3">
        <v>16643</v>
      </c>
      <c r="E180" s="4">
        <v>14</v>
      </c>
      <c r="F180" s="3">
        <v>2017</v>
      </c>
      <c r="G180" s="3" t="s">
        <v>14</v>
      </c>
    </row>
    <row r="181" spans="1:7" ht="14.25" customHeight="1" x14ac:dyDescent="0.3">
      <c r="A181" s="3" t="s">
        <v>241</v>
      </c>
      <c r="B181" s="3" t="s">
        <v>242</v>
      </c>
      <c r="C181" s="3">
        <v>4.8</v>
      </c>
      <c r="D181" s="3">
        <v>16643</v>
      </c>
      <c r="E181" s="4">
        <v>14</v>
      </c>
      <c r="F181" s="3">
        <v>2019</v>
      </c>
      <c r="G181" s="3" t="s">
        <v>14</v>
      </c>
    </row>
    <row r="182" spans="1:7" ht="14.25" customHeight="1" x14ac:dyDescent="0.3">
      <c r="A182" s="3" t="s">
        <v>243</v>
      </c>
      <c r="B182" s="3" t="s">
        <v>244</v>
      </c>
      <c r="C182" s="3">
        <v>4.3</v>
      </c>
      <c r="D182" s="3">
        <v>7153</v>
      </c>
      <c r="E182" s="4">
        <v>14</v>
      </c>
      <c r="F182" s="3">
        <v>2014</v>
      </c>
      <c r="G182" s="3" t="s">
        <v>14</v>
      </c>
    </row>
    <row r="183" spans="1:7" ht="14.25" customHeight="1" x14ac:dyDescent="0.3">
      <c r="A183" s="3" t="s">
        <v>245</v>
      </c>
      <c r="B183" s="3" t="s">
        <v>246</v>
      </c>
      <c r="C183" s="3">
        <v>4.4000000000000004</v>
      </c>
      <c r="D183" s="3">
        <v>4571</v>
      </c>
      <c r="E183" s="4">
        <v>14</v>
      </c>
      <c r="F183" s="3">
        <v>2011</v>
      </c>
      <c r="G183" s="3" t="s">
        <v>11</v>
      </c>
    </row>
    <row r="184" spans="1:7" ht="14.25" customHeight="1" x14ac:dyDescent="0.3">
      <c r="A184" s="3" t="s">
        <v>247</v>
      </c>
      <c r="B184" s="3" t="s">
        <v>248</v>
      </c>
      <c r="C184" s="3">
        <v>4.0999999999999996</v>
      </c>
      <c r="D184" s="3">
        <v>29651</v>
      </c>
      <c r="E184" s="4">
        <v>14</v>
      </c>
      <c r="F184" s="3">
        <v>2013</v>
      </c>
      <c r="G184" s="3" t="s">
        <v>14</v>
      </c>
    </row>
    <row r="185" spans="1:7" ht="14.25" customHeight="1" x14ac:dyDescent="0.3">
      <c r="A185" s="3" t="s">
        <v>249</v>
      </c>
      <c r="B185" s="3" t="s">
        <v>250</v>
      </c>
      <c r="C185" s="3">
        <v>4.5999999999999996</v>
      </c>
      <c r="D185" s="3">
        <v>5299</v>
      </c>
      <c r="E185" s="4">
        <v>14</v>
      </c>
      <c r="F185" s="3">
        <v>2011</v>
      </c>
      <c r="G185" s="3" t="s">
        <v>14</v>
      </c>
    </row>
    <row r="186" spans="1:7" ht="14.25" customHeight="1" x14ac:dyDescent="0.3">
      <c r="A186" s="3" t="s">
        <v>251</v>
      </c>
      <c r="B186" s="3" t="s">
        <v>252</v>
      </c>
      <c r="C186" s="3">
        <v>4.4000000000000004</v>
      </c>
      <c r="D186" s="3">
        <v>7396</v>
      </c>
      <c r="E186" s="4">
        <v>14</v>
      </c>
      <c r="F186" s="3">
        <v>2019</v>
      </c>
      <c r="G186" s="3" t="s">
        <v>11</v>
      </c>
    </row>
    <row r="187" spans="1:7" ht="14.25" customHeight="1" x14ac:dyDescent="0.3">
      <c r="A187" s="3" t="s">
        <v>251</v>
      </c>
      <c r="B187" s="3" t="s">
        <v>252</v>
      </c>
      <c r="C187" s="3">
        <v>4.4000000000000004</v>
      </c>
      <c r="D187" s="3">
        <v>7396</v>
      </c>
      <c r="E187" s="4">
        <v>14</v>
      </c>
      <c r="F187" s="3">
        <v>2018</v>
      </c>
      <c r="G187" s="3" t="s">
        <v>11</v>
      </c>
    </row>
    <row r="188" spans="1:7" ht="14.25" customHeight="1" x14ac:dyDescent="0.3">
      <c r="A188" s="3" t="s">
        <v>253</v>
      </c>
      <c r="B188" s="3" t="s">
        <v>254</v>
      </c>
      <c r="C188" s="3">
        <v>4.8</v>
      </c>
      <c r="D188" s="3">
        <v>7062</v>
      </c>
      <c r="E188" s="4">
        <v>14</v>
      </c>
      <c r="F188" s="3">
        <v>2019</v>
      </c>
      <c r="G188" s="3" t="s">
        <v>11</v>
      </c>
    </row>
    <row r="189" spans="1:7" ht="14.25" customHeight="1" x14ac:dyDescent="0.3">
      <c r="A189" s="3" t="s">
        <v>255</v>
      </c>
      <c r="B189" s="3" t="s">
        <v>256</v>
      </c>
      <c r="C189" s="3">
        <v>4.9000000000000004</v>
      </c>
      <c r="D189" s="3">
        <v>19576</v>
      </c>
      <c r="E189" s="4">
        <v>14</v>
      </c>
      <c r="F189" s="3">
        <v>2011</v>
      </c>
      <c r="G189" s="3" t="s">
        <v>11</v>
      </c>
    </row>
    <row r="190" spans="1:7" ht="14.25" customHeight="1" x14ac:dyDescent="0.3">
      <c r="A190" s="3" t="s">
        <v>255</v>
      </c>
      <c r="B190" s="3" t="s">
        <v>256</v>
      </c>
      <c r="C190" s="3">
        <v>4.9000000000000004</v>
      </c>
      <c r="D190" s="3">
        <v>19576</v>
      </c>
      <c r="E190" s="4">
        <v>14</v>
      </c>
      <c r="F190" s="3">
        <v>2012</v>
      </c>
      <c r="G190" s="3" t="s">
        <v>11</v>
      </c>
    </row>
    <row r="191" spans="1:7" ht="14.25" customHeight="1" x14ac:dyDescent="0.3">
      <c r="A191" s="3" t="s">
        <v>255</v>
      </c>
      <c r="B191" s="3" t="s">
        <v>256</v>
      </c>
      <c r="C191" s="3">
        <v>4.9000000000000004</v>
      </c>
      <c r="D191" s="3">
        <v>19576</v>
      </c>
      <c r="E191" s="4">
        <v>14</v>
      </c>
      <c r="F191" s="3">
        <v>2013</v>
      </c>
      <c r="G191" s="3" t="s">
        <v>11</v>
      </c>
    </row>
    <row r="192" spans="1:7" ht="14.25" customHeight="1" x14ac:dyDescent="0.3">
      <c r="A192" s="3" t="s">
        <v>255</v>
      </c>
      <c r="B192" s="3" t="s">
        <v>256</v>
      </c>
      <c r="C192" s="3">
        <v>4.9000000000000004</v>
      </c>
      <c r="D192" s="3">
        <v>19576</v>
      </c>
      <c r="E192" s="4">
        <v>14</v>
      </c>
      <c r="F192" s="3">
        <v>2014</v>
      </c>
      <c r="G192" s="3" t="s">
        <v>11</v>
      </c>
    </row>
    <row r="193" spans="1:7" ht="14.25" customHeight="1" x14ac:dyDescent="0.3">
      <c r="A193" s="3" t="s">
        <v>255</v>
      </c>
      <c r="B193" s="3" t="s">
        <v>256</v>
      </c>
      <c r="C193" s="3">
        <v>4.9000000000000004</v>
      </c>
      <c r="D193" s="3">
        <v>19576</v>
      </c>
      <c r="E193" s="4">
        <v>14</v>
      </c>
      <c r="F193" s="3">
        <v>2015</v>
      </c>
      <c r="G193" s="3" t="s">
        <v>11</v>
      </c>
    </row>
    <row r="194" spans="1:7" ht="14.25" customHeight="1" x14ac:dyDescent="0.3">
      <c r="A194" s="3" t="s">
        <v>255</v>
      </c>
      <c r="B194" s="3" t="s">
        <v>256</v>
      </c>
      <c r="C194" s="3">
        <v>4.9000000000000004</v>
      </c>
      <c r="D194" s="3">
        <v>19576</v>
      </c>
      <c r="E194" s="4">
        <v>14</v>
      </c>
      <c r="F194" s="3">
        <v>2016</v>
      </c>
      <c r="G194" s="3" t="s">
        <v>11</v>
      </c>
    </row>
    <row r="195" spans="1:7" ht="14.25" customHeight="1" x14ac:dyDescent="0.3">
      <c r="A195" s="3" t="s">
        <v>257</v>
      </c>
      <c r="B195" s="3" t="s">
        <v>171</v>
      </c>
      <c r="C195" s="3">
        <v>4.5999999999999996</v>
      </c>
      <c r="D195" s="3">
        <v>978</v>
      </c>
      <c r="E195" s="4">
        <v>13</v>
      </c>
      <c r="F195" s="3">
        <v>2014</v>
      </c>
      <c r="G195" s="3" t="s">
        <v>14</v>
      </c>
    </row>
    <row r="196" spans="1:7" ht="14.25" customHeight="1" x14ac:dyDescent="0.3">
      <c r="A196" s="3" t="s">
        <v>258</v>
      </c>
      <c r="B196" s="3" t="s">
        <v>13</v>
      </c>
      <c r="C196" s="3">
        <v>4.5</v>
      </c>
      <c r="D196" s="3">
        <v>4748</v>
      </c>
      <c r="E196" s="4">
        <v>13</v>
      </c>
      <c r="F196" s="3">
        <v>2013</v>
      </c>
      <c r="G196" s="3" t="s">
        <v>14</v>
      </c>
    </row>
    <row r="197" spans="1:7" ht="14.25" customHeight="1" x14ac:dyDescent="0.3">
      <c r="A197" s="3" t="s">
        <v>259</v>
      </c>
      <c r="B197" s="3" t="s">
        <v>260</v>
      </c>
      <c r="C197" s="3">
        <v>4.5999999999999996</v>
      </c>
      <c r="D197" s="3">
        <v>8393</v>
      </c>
      <c r="E197" s="4">
        <v>13</v>
      </c>
      <c r="F197" s="3">
        <v>2017</v>
      </c>
      <c r="G197" s="3" t="s">
        <v>11</v>
      </c>
    </row>
    <row r="198" spans="1:7" ht="14.25" customHeight="1" x14ac:dyDescent="0.3">
      <c r="A198" s="3" t="s">
        <v>261</v>
      </c>
      <c r="B198" s="3" t="s">
        <v>262</v>
      </c>
      <c r="C198" s="3">
        <v>4.5</v>
      </c>
      <c r="D198" s="3">
        <v>11391</v>
      </c>
      <c r="E198" s="4">
        <v>13</v>
      </c>
      <c r="F198" s="3">
        <v>2013</v>
      </c>
      <c r="G198" s="3" t="s">
        <v>11</v>
      </c>
    </row>
    <row r="199" spans="1:7" ht="14.25" customHeight="1" x14ac:dyDescent="0.3">
      <c r="A199" s="3" t="s">
        <v>263</v>
      </c>
      <c r="B199" s="3" t="s">
        <v>262</v>
      </c>
      <c r="C199" s="3">
        <v>4.5999999999999996</v>
      </c>
      <c r="D199" s="3">
        <v>8634</v>
      </c>
      <c r="E199" s="4">
        <v>13</v>
      </c>
      <c r="F199" s="3">
        <v>2012</v>
      </c>
      <c r="G199" s="3" t="s">
        <v>11</v>
      </c>
    </row>
    <row r="200" spans="1:7" ht="14.25" customHeight="1" x14ac:dyDescent="0.3">
      <c r="A200" s="3" t="s">
        <v>264</v>
      </c>
      <c r="B200" s="3" t="s">
        <v>262</v>
      </c>
      <c r="C200" s="3">
        <v>4.7</v>
      </c>
      <c r="D200" s="3">
        <v>9342</v>
      </c>
      <c r="E200" s="4">
        <v>13</v>
      </c>
      <c r="F200" s="3">
        <v>2011</v>
      </c>
      <c r="G200" s="3" t="s">
        <v>11</v>
      </c>
    </row>
    <row r="201" spans="1:7" ht="14.25" customHeight="1" x14ac:dyDescent="0.3">
      <c r="A201" s="3" t="s">
        <v>264</v>
      </c>
      <c r="B201" s="3" t="s">
        <v>262</v>
      </c>
      <c r="C201" s="3">
        <v>4.7</v>
      </c>
      <c r="D201" s="3">
        <v>9342</v>
      </c>
      <c r="E201" s="4">
        <v>13</v>
      </c>
      <c r="F201" s="3">
        <v>2012</v>
      </c>
      <c r="G201" s="3" t="s">
        <v>11</v>
      </c>
    </row>
    <row r="202" spans="1:7" ht="14.25" customHeight="1" x14ac:dyDescent="0.3">
      <c r="A202" s="3" t="s">
        <v>265</v>
      </c>
      <c r="B202" s="3" t="s">
        <v>262</v>
      </c>
      <c r="C202" s="3">
        <v>4.5999999999999996</v>
      </c>
      <c r="D202" s="3">
        <v>10927</v>
      </c>
      <c r="E202" s="4">
        <v>13</v>
      </c>
      <c r="F202" s="3">
        <v>2014</v>
      </c>
      <c r="G202" s="3" t="s">
        <v>11</v>
      </c>
    </row>
    <row r="203" spans="1:7" ht="14.25" customHeight="1" x14ac:dyDescent="0.3">
      <c r="A203" s="3" t="s">
        <v>266</v>
      </c>
      <c r="B203" s="3" t="s">
        <v>262</v>
      </c>
      <c r="C203" s="3">
        <v>4.5999999999999996</v>
      </c>
      <c r="D203" s="3">
        <v>5235</v>
      </c>
      <c r="E203" s="4">
        <v>13</v>
      </c>
      <c r="F203" s="3">
        <v>2015</v>
      </c>
      <c r="G203" s="3" t="s">
        <v>11</v>
      </c>
    </row>
    <row r="204" spans="1:7" ht="14.25" customHeight="1" x14ac:dyDescent="0.3">
      <c r="A204" s="3" t="s">
        <v>267</v>
      </c>
      <c r="B204" s="3" t="s">
        <v>262</v>
      </c>
      <c r="C204" s="3">
        <v>4.8</v>
      </c>
      <c r="D204" s="3">
        <v>8916</v>
      </c>
      <c r="E204" s="4">
        <v>13</v>
      </c>
      <c r="F204" s="3">
        <v>2016</v>
      </c>
      <c r="G204" s="3" t="s">
        <v>11</v>
      </c>
    </row>
    <row r="205" spans="1:7" ht="14.25" customHeight="1" x14ac:dyDescent="0.3">
      <c r="A205" s="3" t="s">
        <v>268</v>
      </c>
      <c r="B205" s="3" t="s">
        <v>269</v>
      </c>
      <c r="C205" s="3">
        <v>4.8</v>
      </c>
      <c r="D205" s="3">
        <v>2507</v>
      </c>
      <c r="E205" s="4">
        <v>13</v>
      </c>
      <c r="F205" s="3">
        <v>2018</v>
      </c>
      <c r="G205" s="3" t="s">
        <v>11</v>
      </c>
    </row>
    <row r="206" spans="1:7" ht="14.25" customHeight="1" x14ac:dyDescent="0.3">
      <c r="A206" s="3" t="s">
        <v>270</v>
      </c>
      <c r="B206" s="3" t="s">
        <v>271</v>
      </c>
      <c r="C206" s="3">
        <v>4.5</v>
      </c>
      <c r="D206" s="3">
        <v>3673</v>
      </c>
      <c r="E206" s="4">
        <v>13</v>
      </c>
      <c r="F206" s="3">
        <v>2013</v>
      </c>
      <c r="G206" s="3" t="s">
        <v>11</v>
      </c>
    </row>
    <row r="207" spans="1:7" ht="14.25" customHeight="1" x14ac:dyDescent="0.3">
      <c r="A207" s="3" t="s">
        <v>270</v>
      </c>
      <c r="B207" s="3" t="s">
        <v>271</v>
      </c>
      <c r="C207" s="3">
        <v>4.5</v>
      </c>
      <c r="D207" s="3">
        <v>3673</v>
      </c>
      <c r="E207" s="4">
        <v>13</v>
      </c>
      <c r="F207" s="3">
        <v>2014</v>
      </c>
      <c r="G207" s="3" t="s">
        <v>11</v>
      </c>
    </row>
    <row r="208" spans="1:7" ht="14.25" customHeight="1" x14ac:dyDescent="0.3">
      <c r="A208" s="3" t="s">
        <v>270</v>
      </c>
      <c r="B208" s="3" t="s">
        <v>271</v>
      </c>
      <c r="C208" s="3">
        <v>4.5</v>
      </c>
      <c r="D208" s="3">
        <v>3673</v>
      </c>
      <c r="E208" s="4">
        <v>13</v>
      </c>
      <c r="F208" s="3">
        <v>2015</v>
      </c>
      <c r="G208" s="3" t="s">
        <v>11</v>
      </c>
    </row>
    <row r="209" spans="1:7" ht="14.25" customHeight="1" x14ac:dyDescent="0.3">
      <c r="A209" s="3" t="s">
        <v>272</v>
      </c>
      <c r="B209" s="3" t="s">
        <v>273</v>
      </c>
      <c r="C209" s="3">
        <v>4.9000000000000004</v>
      </c>
      <c r="D209" s="3">
        <v>11881</v>
      </c>
      <c r="E209" s="4">
        <v>13</v>
      </c>
      <c r="F209" s="3">
        <v>2018</v>
      </c>
      <c r="G209" s="3" t="s">
        <v>14</v>
      </c>
    </row>
    <row r="210" spans="1:7" ht="14.25" customHeight="1" x14ac:dyDescent="0.3">
      <c r="A210" s="3" t="s">
        <v>274</v>
      </c>
      <c r="B210" s="3" t="s">
        <v>271</v>
      </c>
      <c r="C210" s="3">
        <v>4.5999999999999996</v>
      </c>
      <c r="D210" s="3">
        <v>6990</v>
      </c>
      <c r="E210" s="4">
        <v>13</v>
      </c>
      <c r="F210" s="3">
        <v>2013</v>
      </c>
      <c r="G210" s="3" t="s">
        <v>11</v>
      </c>
    </row>
    <row r="211" spans="1:7" ht="14.25" customHeight="1" x14ac:dyDescent="0.3">
      <c r="A211" s="3" t="s">
        <v>274</v>
      </c>
      <c r="B211" s="3" t="s">
        <v>271</v>
      </c>
      <c r="C211" s="3">
        <v>4.5999999999999996</v>
      </c>
      <c r="D211" s="3">
        <v>6990</v>
      </c>
      <c r="E211" s="4">
        <v>13</v>
      </c>
      <c r="F211" s="3">
        <v>2014</v>
      </c>
      <c r="G211" s="3" t="s">
        <v>11</v>
      </c>
    </row>
    <row r="212" spans="1:7" ht="14.25" customHeight="1" x14ac:dyDescent="0.3">
      <c r="A212" s="3" t="s">
        <v>274</v>
      </c>
      <c r="B212" s="3" t="s">
        <v>271</v>
      </c>
      <c r="C212" s="3">
        <v>4.5999999999999996</v>
      </c>
      <c r="D212" s="3">
        <v>6990</v>
      </c>
      <c r="E212" s="4">
        <v>13</v>
      </c>
      <c r="F212" s="3">
        <v>2015</v>
      </c>
      <c r="G212" s="3" t="s">
        <v>11</v>
      </c>
    </row>
    <row r="213" spans="1:7" ht="14.25" customHeight="1" x14ac:dyDescent="0.3">
      <c r="A213" s="3" t="s">
        <v>274</v>
      </c>
      <c r="B213" s="3" t="s">
        <v>271</v>
      </c>
      <c r="C213" s="3">
        <v>4.5999999999999996</v>
      </c>
      <c r="D213" s="3">
        <v>6990</v>
      </c>
      <c r="E213" s="4">
        <v>13</v>
      </c>
      <c r="F213" s="3">
        <v>2016</v>
      </c>
      <c r="G213" s="3" t="s">
        <v>11</v>
      </c>
    </row>
    <row r="214" spans="1:7" ht="14.25" customHeight="1" x14ac:dyDescent="0.3">
      <c r="A214" s="3" t="s">
        <v>274</v>
      </c>
      <c r="B214" s="3" t="s">
        <v>271</v>
      </c>
      <c r="C214" s="3">
        <v>4.5999999999999996</v>
      </c>
      <c r="D214" s="3">
        <v>6990</v>
      </c>
      <c r="E214" s="4">
        <v>13</v>
      </c>
      <c r="F214" s="3">
        <v>2017</v>
      </c>
      <c r="G214" s="3" t="s">
        <v>11</v>
      </c>
    </row>
    <row r="215" spans="1:7" ht="14.25" customHeight="1" x14ac:dyDescent="0.3">
      <c r="A215" s="3" t="s">
        <v>275</v>
      </c>
      <c r="B215" s="3" t="s">
        <v>276</v>
      </c>
      <c r="C215" s="3">
        <v>4.5</v>
      </c>
      <c r="D215" s="3">
        <v>6132</v>
      </c>
      <c r="E215" s="4">
        <v>13</v>
      </c>
      <c r="F215" s="3">
        <v>2013</v>
      </c>
      <c r="G215" s="3" t="s">
        <v>11</v>
      </c>
    </row>
    <row r="216" spans="1:7" ht="14.25" customHeight="1" x14ac:dyDescent="0.3">
      <c r="A216" s="3" t="s">
        <v>277</v>
      </c>
      <c r="B216" s="3" t="s">
        <v>278</v>
      </c>
      <c r="C216" s="3">
        <v>4.5</v>
      </c>
      <c r="D216" s="3">
        <v>3014</v>
      </c>
      <c r="E216" s="4">
        <v>13</v>
      </c>
      <c r="F216" s="3">
        <v>2017</v>
      </c>
      <c r="G216" s="3" t="s">
        <v>11</v>
      </c>
    </row>
    <row r="217" spans="1:7" ht="14.25" customHeight="1" x14ac:dyDescent="0.3">
      <c r="A217" s="3" t="s">
        <v>279</v>
      </c>
      <c r="B217" s="3" t="s">
        <v>280</v>
      </c>
      <c r="C217" s="3">
        <v>4.4000000000000004</v>
      </c>
      <c r="D217" s="3">
        <v>7550</v>
      </c>
      <c r="E217" s="4">
        <v>13</v>
      </c>
      <c r="F217" s="3">
        <v>2018</v>
      </c>
      <c r="G217" s="3" t="s">
        <v>11</v>
      </c>
    </row>
    <row r="218" spans="1:7" ht="14.25" customHeight="1" x14ac:dyDescent="0.3">
      <c r="A218" s="3" t="s">
        <v>281</v>
      </c>
      <c r="B218" s="3" t="s">
        <v>282</v>
      </c>
      <c r="C218" s="3">
        <v>4.8</v>
      </c>
      <c r="D218" s="3">
        <v>3828</v>
      </c>
      <c r="E218" s="4">
        <v>13</v>
      </c>
      <c r="F218" s="3">
        <v>2009</v>
      </c>
      <c r="G218" s="3" t="s">
        <v>11</v>
      </c>
    </row>
    <row r="219" spans="1:7" ht="14.25" customHeight="1" x14ac:dyDescent="0.3">
      <c r="A219" s="3" t="s">
        <v>283</v>
      </c>
      <c r="B219" s="3" t="s">
        <v>284</v>
      </c>
      <c r="C219" s="3">
        <v>4.5</v>
      </c>
      <c r="D219" s="3">
        <v>2752</v>
      </c>
      <c r="E219" s="4">
        <v>13</v>
      </c>
      <c r="F219" s="3">
        <v>2010</v>
      </c>
      <c r="G219" s="3" t="s">
        <v>11</v>
      </c>
    </row>
    <row r="220" spans="1:7" ht="14.25" customHeight="1" x14ac:dyDescent="0.3">
      <c r="A220" s="3" t="s">
        <v>285</v>
      </c>
      <c r="B220" s="3" t="s">
        <v>286</v>
      </c>
      <c r="C220" s="3">
        <v>4.0999999999999996</v>
      </c>
      <c r="D220" s="3">
        <v>1467</v>
      </c>
      <c r="E220" s="4">
        <v>13</v>
      </c>
      <c r="F220" s="3">
        <v>2010</v>
      </c>
      <c r="G220" s="3" t="s">
        <v>14</v>
      </c>
    </row>
    <row r="221" spans="1:7" ht="14.25" customHeight="1" x14ac:dyDescent="0.3">
      <c r="A221" s="3" t="s">
        <v>287</v>
      </c>
      <c r="B221" s="3" t="s">
        <v>288</v>
      </c>
      <c r="C221" s="3">
        <v>4.9000000000000004</v>
      </c>
      <c r="D221" s="3">
        <v>1884</v>
      </c>
      <c r="E221" s="4">
        <v>13</v>
      </c>
      <c r="F221" s="3">
        <v>2014</v>
      </c>
      <c r="G221" s="3" t="s">
        <v>14</v>
      </c>
    </row>
    <row r="222" spans="1:7" ht="14.25" customHeight="1" x14ac:dyDescent="0.3">
      <c r="A222" s="3" t="s">
        <v>289</v>
      </c>
      <c r="B222" s="3" t="s">
        <v>290</v>
      </c>
      <c r="C222" s="3">
        <v>4.5</v>
      </c>
      <c r="D222" s="3">
        <v>25706</v>
      </c>
      <c r="E222" s="4">
        <v>13</v>
      </c>
      <c r="F222" s="3">
        <v>2018</v>
      </c>
      <c r="G222" s="3" t="s">
        <v>14</v>
      </c>
    </row>
    <row r="223" spans="1:7" ht="14.25" customHeight="1" x14ac:dyDescent="0.3">
      <c r="A223" s="3" t="s">
        <v>291</v>
      </c>
      <c r="B223" s="3" t="s">
        <v>292</v>
      </c>
      <c r="C223" s="3">
        <v>4.5</v>
      </c>
      <c r="D223" s="3">
        <v>8491</v>
      </c>
      <c r="E223" s="4">
        <v>13</v>
      </c>
      <c r="F223" s="3">
        <v>2014</v>
      </c>
      <c r="G223" s="3" t="s">
        <v>14</v>
      </c>
    </row>
    <row r="224" spans="1:7" ht="14.25" customHeight="1" x14ac:dyDescent="0.3">
      <c r="A224" s="3" t="s">
        <v>293</v>
      </c>
      <c r="B224" s="3" t="s">
        <v>294</v>
      </c>
      <c r="C224" s="3">
        <v>4.2</v>
      </c>
      <c r="D224" s="3">
        <v>1649</v>
      </c>
      <c r="E224" s="4">
        <v>12</v>
      </c>
      <c r="F224" s="3">
        <v>2011</v>
      </c>
      <c r="G224" s="3" t="s">
        <v>11</v>
      </c>
    </row>
    <row r="225" spans="1:7" ht="14.25" customHeight="1" x14ac:dyDescent="0.3">
      <c r="A225" s="3" t="s">
        <v>295</v>
      </c>
      <c r="B225" s="3" t="s">
        <v>296</v>
      </c>
      <c r="C225" s="3">
        <v>4.8</v>
      </c>
      <c r="D225" s="3">
        <v>18613</v>
      </c>
      <c r="E225" s="4">
        <v>12</v>
      </c>
      <c r="F225" s="3">
        <v>2014</v>
      </c>
      <c r="G225" s="3" t="s">
        <v>14</v>
      </c>
    </row>
    <row r="226" spans="1:7" ht="14.25" customHeight="1" x14ac:dyDescent="0.3">
      <c r="A226" s="3" t="s">
        <v>295</v>
      </c>
      <c r="B226" s="3" t="s">
        <v>296</v>
      </c>
      <c r="C226" s="3">
        <v>4.8</v>
      </c>
      <c r="D226" s="3">
        <v>18613</v>
      </c>
      <c r="E226" s="4">
        <v>12</v>
      </c>
      <c r="F226" s="3">
        <v>2015</v>
      </c>
      <c r="G226" s="3" t="s">
        <v>14</v>
      </c>
    </row>
    <row r="227" spans="1:7" ht="14.25" customHeight="1" x14ac:dyDescent="0.3">
      <c r="A227" s="3" t="s">
        <v>297</v>
      </c>
      <c r="B227" s="3" t="s">
        <v>227</v>
      </c>
      <c r="C227" s="3">
        <v>4.8</v>
      </c>
      <c r="D227" s="3">
        <v>9867</v>
      </c>
      <c r="E227" s="4">
        <v>12</v>
      </c>
      <c r="F227" s="3">
        <v>2018</v>
      </c>
      <c r="G227" s="3" t="s">
        <v>11</v>
      </c>
    </row>
    <row r="228" spans="1:7" ht="14.25" customHeight="1" x14ac:dyDescent="0.3">
      <c r="A228" s="3" t="s">
        <v>298</v>
      </c>
      <c r="B228" s="3" t="s">
        <v>67</v>
      </c>
      <c r="C228" s="3">
        <v>4.5</v>
      </c>
      <c r="D228" s="3">
        <v>1386</v>
      </c>
      <c r="E228" s="4">
        <v>12</v>
      </c>
      <c r="F228" s="3">
        <v>2014</v>
      </c>
      <c r="G228" s="3" t="s">
        <v>11</v>
      </c>
    </row>
    <row r="229" spans="1:7" ht="14.25" customHeight="1" x14ac:dyDescent="0.3">
      <c r="A229" s="3" t="s">
        <v>299</v>
      </c>
      <c r="B229" s="3" t="s">
        <v>300</v>
      </c>
      <c r="C229" s="3">
        <v>4.7</v>
      </c>
      <c r="D229" s="3">
        <v>10199</v>
      </c>
      <c r="E229" s="4">
        <v>12</v>
      </c>
      <c r="F229" s="3">
        <v>2017</v>
      </c>
      <c r="G229" s="3" t="s">
        <v>11</v>
      </c>
    </row>
    <row r="230" spans="1:7" ht="14.25" customHeight="1" x14ac:dyDescent="0.3">
      <c r="A230" s="3" t="s">
        <v>301</v>
      </c>
      <c r="B230" s="3" t="s">
        <v>302</v>
      </c>
      <c r="C230" s="3">
        <v>4.8</v>
      </c>
      <c r="D230" s="3">
        <v>2926</v>
      </c>
      <c r="E230" s="4">
        <v>12</v>
      </c>
      <c r="F230" s="3">
        <v>2009</v>
      </c>
      <c r="G230" s="3" t="s">
        <v>11</v>
      </c>
    </row>
    <row r="231" spans="1:7" ht="14.25" customHeight="1" x14ac:dyDescent="0.3">
      <c r="A231" s="3" t="s">
        <v>303</v>
      </c>
      <c r="B231" s="3" t="s">
        <v>304</v>
      </c>
      <c r="C231" s="3">
        <v>4.7</v>
      </c>
      <c r="D231" s="3">
        <v>17739</v>
      </c>
      <c r="E231" s="4">
        <v>12</v>
      </c>
      <c r="F231" s="3">
        <v>2016</v>
      </c>
      <c r="G231" s="3" t="s">
        <v>11</v>
      </c>
    </row>
    <row r="232" spans="1:7" ht="14.25" customHeight="1" x14ac:dyDescent="0.3">
      <c r="A232" s="3" t="s">
        <v>303</v>
      </c>
      <c r="B232" s="3" t="s">
        <v>304</v>
      </c>
      <c r="C232" s="3">
        <v>4.7</v>
      </c>
      <c r="D232" s="3">
        <v>17739</v>
      </c>
      <c r="E232" s="4">
        <v>12</v>
      </c>
      <c r="F232" s="3">
        <v>2017</v>
      </c>
      <c r="G232" s="3" t="s">
        <v>11</v>
      </c>
    </row>
    <row r="233" spans="1:7" ht="14.25" customHeight="1" x14ac:dyDescent="0.3">
      <c r="A233" s="3" t="s">
        <v>303</v>
      </c>
      <c r="B233" s="3" t="s">
        <v>304</v>
      </c>
      <c r="C233" s="3">
        <v>4.7</v>
      </c>
      <c r="D233" s="3">
        <v>17739</v>
      </c>
      <c r="E233" s="4">
        <v>12</v>
      </c>
      <c r="F233" s="3">
        <v>2018</v>
      </c>
      <c r="G233" s="3" t="s">
        <v>11</v>
      </c>
    </row>
    <row r="234" spans="1:7" ht="14.25" customHeight="1" x14ac:dyDescent="0.3">
      <c r="A234" s="3" t="s">
        <v>305</v>
      </c>
      <c r="B234" s="3" t="s">
        <v>306</v>
      </c>
      <c r="C234" s="3">
        <v>4.4000000000000004</v>
      </c>
      <c r="D234" s="3">
        <v>3113</v>
      </c>
      <c r="E234" s="4">
        <v>12</v>
      </c>
      <c r="F234" s="3">
        <v>2017</v>
      </c>
      <c r="G234" s="3" t="s">
        <v>11</v>
      </c>
    </row>
    <row r="235" spans="1:7" ht="14.25" customHeight="1" x14ac:dyDescent="0.3">
      <c r="A235" s="3" t="s">
        <v>307</v>
      </c>
      <c r="B235" s="3" t="s">
        <v>308</v>
      </c>
      <c r="C235" s="3">
        <v>4.5999999999999996</v>
      </c>
      <c r="D235" s="3">
        <v>5542</v>
      </c>
      <c r="E235" s="4">
        <v>12</v>
      </c>
      <c r="F235" s="3">
        <v>2014</v>
      </c>
      <c r="G235" s="3" t="s">
        <v>11</v>
      </c>
    </row>
    <row r="236" spans="1:7" ht="14.25" customHeight="1" x14ac:dyDescent="0.3">
      <c r="A236" s="3" t="s">
        <v>307</v>
      </c>
      <c r="B236" s="3" t="s">
        <v>308</v>
      </c>
      <c r="C236" s="3">
        <v>4.5999999999999996</v>
      </c>
      <c r="D236" s="3">
        <v>5542</v>
      </c>
      <c r="E236" s="4">
        <v>12</v>
      </c>
      <c r="F236" s="3">
        <v>2015</v>
      </c>
      <c r="G236" s="3" t="s">
        <v>11</v>
      </c>
    </row>
    <row r="237" spans="1:7" ht="14.25" customHeight="1" x14ac:dyDescent="0.3">
      <c r="A237" s="3" t="s">
        <v>307</v>
      </c>
      <c r="B237" s="3" t="s">
        <v>308</v>
      </c>
      <c r="C237" s="3">
        <v>4.5999999999999996</v>
      </c>
      <c r="D237" s="3">
        <v>5542</v>
      </c>
      <c r="E237" s="4">
        <v>12</v>
      </c>
      <c r="F237" s="3">
        <v>2016</v>
      </c>
      <c r="G237" s="3" t="s">
        <v>11</v>
      </c>
    </row>
    <row r="238" spans="1:7" ht="14.25" customHeight="1" x14ac:dyDescent="0.3">
      <c r="A238" s="3" t="s">
        <v>309</v>
      </c>
      <c r="B238" s="3" t="s">
        <v>91</v>
      </c>
      <c r="C238" s="3">
        <v>4.5</v>
      </c>
      <c r="D238" s="3">
        <v>26741</v>
      </c>
      <c r="E238" s="4">
        <v>12</v>
      </c>
      <c r="F238" s="3">
        <v>2010</v>
      </c>
      <c r="G238" s="3" t="s">
        <v>14</v>
      </c>
    </row>
    <row r="239" spans="1:7" ht="14.25" customHeight="1" x14ac:dyDescent="0.3">
      <c r="A239" s="3" t="s">
        <v>309</v>
      </c>
      <c r="B239" s="3" t="s">
        <v>91</v>
      </c>
      <c r="C239" s="3">
        <v>4.5</v>
      </c>
      <c r="D239" s="3">
        <v>26741</v>
      </c>
      <c r="E239" s="4">
        <v>12</v>
      </c>
      <c r="F239" s="3">
        <v>2011</v>
      </c>
      <c r="G239" s="3" t="s">
        <v>14</v>
      </c>
    </row>
    <row r="240" spans="1:7" ht="14.25" customHeight="1" x14ac:dyDescent="0.3">
      <c r="A240" s="3" t="s">
        <v>309</v>
      </c>
      <c r="B240" s="3" t="s">
        <v>91</v>
      </c>
      <c r="C240" s="3">
        <v>4.5</v>
      </c>
      <c r="D240" s="3">
        <v>26741</v>
      </c>
      <c r="E240" s="4">
        <v>12</v>
      </c>
      <c r="F240" s="3">
        <v>2012</v>
      </c>
      <c r="G240" s="3" t="s">
        <v>14</v>
      </c>
    </row>
    <row r="241" spans="1:7" ht="14.25" customHeight="1" x14ac:dyDescent="0.3">
      <c r="A241" s="3" t="s">
        <v>310</v>
      </c>
      <c r="B241" s="3" t="s">
        <v>311</v>
      </c>
      <c r="C241" s="3">
        <v>4.8</v>
      </c>
      <c r="D241" s="3">
        <v>5347</v>
      </c>
      <c r="E241" s="4">
        <v>12</v>
      </c>
      <c r="F241" s="3">
        <v>2019</v>
      </c>
      <c r="G241" s="3" t="s">
        <v>11</v>
      </c>
    </row>
    <row r="242" spans="1:7" ht="14.25" customHeight="1" x14ac:dyDescent="0.3">
      <c r="A242" s="3" t="s">
        <v>312</v>
      </c>
      <c r="B242" s="3" t="s">
        <v>313</v>
      </c>
      <c r="C242" s="3">
        <v>4.8</v>
      </c>
      <c r="D242" s="3">
        <v>7866</v>
      </c>
      <c r="E242" s="4">
        <v>12</v>
      </c>
      <c r="F242" s="3">
        <v>2019</v>
      </c>
      <c r="G242" s="3" t="s">
        <v>11</v>
      </c>
    </row>
    <row r="243" spans="1:7" ht="14.25" customHeight="1" x14ac:dyDescent="0.3">
      <c r="A243" s="3" t="s">
        <v>314</v>
      </c>
      <c r="B243" s="3" t="s">
        <v>78</v>
      </c>
      <c r="C243" s="3">
        <v>4.5999999999999996</v>
      </c>
      <c r="D243" s="3">
        <v>5680</v>
      </c>
      <c r="E243" s="4">
        <v>12</v>
      </c>
      <c r="F243" s="3">
        <v>2009</v>
      </c>
      <c r="G243" s="3" t="s">
        <v>14</v>
      </c>
    </row>
    <row r="244" spans="1:7" ht="14.25" customHeight="1" x14ac:dyDescent="0.3">
      <c r="A244" s="3" t="s">
        <v>315</v>
      </c>
      <c r="B244" s="3" t="s">
        <v>316</v>
      </c>
      <c r="C244" s="3">
        <v>4.7</v>
      </c>
      <c r="D244" s="3">
        <v>5178</v>
      </c>
      <c r="E244" s="4">
        <v>12</v>
      </c>
      <c r="F244" s="3">
        <v>2016</v>
      </c>
      <c r="G244" s="3" t="s">
        <v>11</v>
      </c>
    </row>
    <row r="245" spans="1:7" ht="14.25" customHeight="1" x14ac:dyDescent="0.3">
      <c r="A245" s="3" t="s">
        <v>317</v>
      </c>
      <c r="B245" s="3" t="s">
        <v>318</v>
      </c>
      <c r="C245" s="3">
        <v>4.5999999999999996</v>
      </c>
      <c r="D245" s="3">
        <v>8093</v>
      </c>
      <c r="E245" s="4">
        <v>12</v>
      </c>
      <c r="F245" s="3">
        <v>2012</v>
      </c>
      <c r="G245" s="3" t="s">
        <v>11</v>
      </c>
    </row>
    <row r="246" spans="1:7" ht="14.25" customHeight="1" x14ac:dyDescent="0.3">
      <c r="A246" s="3" t="s">
        <v>319</v>
      </c>
      <c r="B246" s="3" t="s">
        <v>320</v>
      </c>
      <c r="C246" s="3">
        <v>4.9000000000000004</v>
      </c>
      <c r="D246" s="3">
        <v>3192</v>
      </c>
      <c r="E246" s="4">
        <v>12</v>
      </c>
      <c r="F246" s="3">
        <v>2017</v>
      </c>
      <c r="G246" s="3" t="s">
        <v>11</v>
      </c>
    </row>
    <row r="247" spans="1:7" ht="14.25" customHeight="1" x14ac:dyDescent="0.3">
      <c r="A247" s="3" t="s">
        <v>321</v>
      </c>
      <c r="B247" s="3" t="s">
        <v>322</v>
      </c>
      <c r="C247" s="3">
        <v>4.9000000000000004</v>
      </c>
      <c r="D247" s="3">
        <v>21834</v>
      </c>
      <c r="E247" s="4">
        <v>12</v>
      </c>
      <c r="F247" s="3">
        <v>2012</v>
      </c>
      <c r="G247" s="3" t="s">
        <v>14</v>
      </c>
    </row>
    <row r="248" spans="1:7" ht="14.25" customHeight="1" x14ac:dyDescent="0.3">
      <c r="A248" s="3" t="s">
        <v>321</v>
      </c>
      <c r="B248" s="3" t="s">
        <v>322</v>
      </c>
      <c r="C248" s="3">
        <v>4.9000000000000004</v>
      </c>
      <c r="D248" s="3">
        <v>21834</v>
      </c>
      <c r="E248" s="4">
        <v>12</v>
      </c>
      <c r="F248" s="3">
        <v>2013</v>
      </c>
      <c r="G248" s="3" t="s">
        <v>14</v>
      </c>
    </row>
    <row r="249" spans="1:7" ht="14.25" customHeight="1" x14ac:dyDescent="0.3">
      <c r="A249" s="3" t="s">
        <v>321</v>
      </c>
      <c r="B249" s="3" t="s">
        <v>322</v>
      </c>
      <c r="C249" s="3">
        <v>4.9000000000000004</v>
      </c>
      <c r="D249" s="3">
        <v>21834</v>
      </c>
      <c r="E249" s="4">
        <v>12</v>
      </c>
      <c r="F249" s="3">
        <v>2014</v>
      </c>
      <c r="G249" s="3" t="s">
        <v>14</v>
      </c>
    </row>
    <row r="250" spans="1:7" ht="14.25" customHeight="1" x14ac:dyDescent="0.3">
      <c r="A250" s="3" t="s">
        <v>321</v>
      </c>
      <c r="B250" s="3" t="s">
        <v>322</v>
      </c>
      <c r="C250" s="3">
        <v>4.9000000000000004</v>
      </c>
      <c r="D250" s="3">
        <v>21834</v>
      </c>
      <c r="E250" s="4">
        <v>12</v>
      </c>
      <c r="F250" s="3">
        <v>2015</v>
      </c>
      <c r="G250" s="3" t="s">
        <v>14</v>
      </c>
    </row>
    <row r="251" spans="1:7" ht="14.25" customHeight="1" x14ac:dyDescent="0.3">
      <c r="A251" s="3" t="s">
        <v>321</v>
      </c>
      <c r="B251" s="3" t="s">
        <v>322</v>
      </c>
      <c r="C251" s="3">
        <v>4.9000000000000004</v>
      </c>
      <c r="D251" s="3">
        <v>21834</v>
      </c>
      <c r="E251" s="4">
        <v>11</v>
      </c>
      <c r="F251" s="3">
        <v>2016</v>
      </c>
      <c r="G251" s="3" t="s">
        <v>14</v>
      </c>
    </row>
    <row r="252" spans="1:7" ht="14.25" customHeight="1" x14ac:dyDescent="0.3">
      <c r="A252" s="3" t="s">
        <v>321</v>
      </c>
      <c r="B252" s="3" t="s">
        <v>322</v>
      </c>
      <c r="C252" s="3">
        <v>4.9000000000000004</v>
      </c>
      <c r="D252" s="3">
        <v>21834</v>
      </c>
      <c r="E252" s="4">
        <v>11</v>
      </c>
      <c r="F252" s="3">
        <v>2017</v>
      </c>
      <c r="G252" s="3" t="s">
        <v>14</v>
      </c>
    </row>
    <row r="253" spans="1:7" ht="14.25" customHeight="1" x14ac:dyDescent="0.3">
      <c r="A253" s="3" t="s">
        <v>321</v>
      </c>
      <c r="B253" s="3" t="s">
        <v>322</v>
      </c>
      <c r="C253" s="3">
        <v>4.9000000000000004</v>
      </c>
      <c r="D253" s="3">
        <v>21834</v>
      </c>
      <c r="E253" s="4">
        <v>11</v>
      </c>
      <c r="F253" s="3">
        <v>2018</v>
      </c>
      <c r="G253" s="3" t="s">
        <v>14</v>
      </c>
    </row>
    <row r="254" spans="1:7" ht="14.25" customHeight="1" x14ac:dyDescent="0.3">
      <c r="A254" s="3" t="s">
        <v>321</v>
      </c>
      <c r="B254" s="3" t="s">
        <v>322</v>
      </c>
      <c r="C254" s="3">
        <v>4.9000000000000004</v>
      </c>
      <c r="D254" s="3">
        <v>21834</v>
      </c>
      <c r="E254" s="4">
        <v>11</v>
      </c>
      <c r="F254" s="3">
        <v>2019</v>
      </c>
      <c r="G254" s="3" t="s">
        <v>14</v>
      </c>
    </row>
    <row r="255" spans="1:7" ht="14.25" customHeight="1" x14ac:dyDescent="0.3">
      <c r="A255" s="3" t="s">
        <v>323</v>
      </c>
      <c r="B255" s="3" t="s">
        <v>83</v>
      </c>
      <c r="C255" s="3">
        <v>4.8</v>
      </c>
      <c r="D255" s="3">
        <v>6169</v>
      </c>
      <c r="E255" s="4">
        <v>11</v>
      </c>
      <c r="F255" s="3">
        <v>2015</v>
      </c>
      <c r="G255" s="3" t="s">
        <v>14</v>
      </c>
    </row>
    <row r="256" spans="1:7" ht="14.25" customHeight="1" x14ac:dyDescent="0.3">
      <c r="A256" s="3" t="s">
        <v>324</v>
      </c>
      <c r="B256" s="3" t="s">
        <v>325</v>
      </c>
      <c r="C256" s="3">
        <v>4.2</v>
      </c>
      <c r="D256" s="3">
        <v>4519</v>
      </c>
      <c r="E256" s="4">
        <v>11</v>
      </c>
      <c r="F256" s="3">
        <v>2009</v>
      </c>
      <c r="G256" s="3" t="s">
        <v>14</v>
      </c>
    </row>
    <row r="257" spans="1:7" ht="14.25" customHeight="1" x14ac:dyDescent="0.3">
      <c r="A257" s="3" t="s">
        <v>326</v>
      </c>
      <c r="B257" s="3" t="s">
        <v>327</v>
      </c>
      <c r="C257" s="3">
        <v>4.5999999999999996</v>
      </c>
      <c r="D257" s="3">
        <v>3163</v>
      </c>
      <c r="E257" s="4">
        <v>11</v>
      </c>
      <c r="F257" s="3">
        <v>2011</v>
      </c>
      <c r="G257" s="3" t="s">
        <v>11</v>
      </c>
    </row>
    <row r="258" spans="1:7" ht="14.25" customHeight="1" x14ac:dyDescent="0.3">
      <c r="A258" s="3" t="s">
        <v>326</v>
      </c>
      <c r="B258" s="3" t="s">
        <v>327</v>
      </c>
      <c r="C258" s="3">
        <v>4.5999999999999996</v>
      </c>
      <c r="D258" s="3">
        <v>3163</v>
      </c>
      <c r="E258" s="4">
        <v>11</v>
      </c>
      <c r="F258" s="3">
        <v>2012</v>
      </c>
      <c r="G258" s="3" t="s">
        <v>11</v>
      </c>
    </row>
    <row r="259" spans="1:7" ht="14.25" customHeight="1" x14ac:dyDescent="0.3">
      <c r="A259" s="3" t="s">
        <v>328</v>
      </c>
      <c r="B259" s="3" t="s">
        <v>276</v>
      </c>
      <c r="C259" s="3">
        <v>4.5</v>
      </c>
      <c r="D259" s="3">
        <v>1831</v>
      </c>
      <c r="E259" s="4">
        <v>11</v>
      </c>
      <c r="F259" s="3">
        <v>2017</v>
      </c>
      <c r="G259" s="3" t="s">
        <v>11</v>
      </c>
    </row>
    <row r="260" spans="1:7" ht="14.25" customHeight="1" x14ac:dyDescent="0.3">
      <c r="A260" s="3" t="s">
        <v>329</v>
      </c>
      <c r="B260" s="3" t="s">
        <v>248</v>
      </c>
      <c r="C260" s="3">
        <v>4.3</v>
      </c>
      <c r="D260" s="3">
        <v>18904</v>
      </c>
      <c r="E260" s="4">
        <v>11</v>
      </c>
      <c r="F260" s="3">
        <v>2017</v>
      </c>
      <c r="G260" s="3" t="s">
        <v>14</v>
      </c>
    </row>
    <row r="261" spans="1:7" ht="14.25" customHeight="1" x14ac:dyDescent="0.3">
      <c r="A261" s="3" t="s">
        <v>330</v>
      </c>
      <c r="B261" s="3" t="s">
        <v>331</v>
      </c>
      <c r="C261" s="3">
        <v>4.5999999999999996</v>
      </c>
      <c r="D261" s="3">
        <v>21930</v>
      </c>
      <c r="E261" s="4">
        <v>11</v>
      </c>
      <c r="F261" s="3">
        <v>2014</v>
      </c>
      <c r="G261" s="3" t="s">
        <v>14</v>
      </c>
    </row>
    <row r="262" spans="1:7" ht="14.25" customHeight="1" x14ac:dyDescent="0.3">
      <c r="A262" s="3" t="s">
        <v>332</v>
      </c>
      <c r="B262" s="3" t="s">
        <v>106</v>
      </c>
      <c r="C262" s="3">
        <v>4.5999999999999996</v>
      </c>
      <c r="D262" s="3">
        <v>10426</v>
      </c>
      <c r="E262" s="4">
        <v>11</v>
      </c>
      <c r="F262" s="3">
        <v>2009</v>
      </c>
      <c r="G262" s="3" t="s">
        <v>11</v>
      </c>
    </row>
    <row r="263" spans="1:7" ht="14.25" customHeight="1" x14ac:dyDescent="0.3">
      <c r="A263" s="3" t="s">
        <v>332</v>
      </c>
      <c r="B263" s="3" t="s">
        <v>106</v>
      </c>
      <c r="C263" s="3">
        <v>4.5999999999999996</v>
      </c>
      <c r="D263" s="3">
        <v>10426</v>
      </c>
      <c r="E263" s="4">
        <v>11</v>
      </c>
      <c r="F263" s="3">
        <v>2010</v>
      </c>
      <c r="G263" s="3" t="s">
        <v>11</v>
      </c>
    </row>
    <row r="264" spans="1:7" ht="14.25" customHeight="1" x14ac:dyDescent="0.3">
      <c r="A264" s="3" t="s">
        <v>333</v>
      </c>
      <c r="B264" s="3" t="s">
        <v>334</v>
      </c>
      <c r="C264" s="3">
        <v>4.7</v>
      </c>
      <c r="D264" s="3">
        <v>10820</v>
      </c>
      <c r="E264" s="4">
        <v>11</v>
      </c>
      <c r="F264" s="3">
        <v>2018</v>
      </c>
      <c r="G264" s="3" t="s">
        <v>11</v>
      </c>
    </row>
    <row r="265" spans="1:7" ht="14.25" customHeight="1" x14ac:dyDescent="0.3">
      <c r="A265" s="3" t="s">
        <v>333</v>
      </c>
      <c r="B265" s="3" t="s">
        <v>334</v>
      </c>
      <c r="C265" s="3">
        <v>4.7</v>
      </c>
      <c r="D265" s="3">
        <v>10820</v>
      </c>
      <c r="E265" s="4">
        <v>11</v>
      </c>
      <c r="F265" s="3">
        <v>2019</v>
      </c>
      <c r="G265" s="3" t="s">
        <v>11</v>
      </c>
    </row>
    <row r="266" spans="1:7" ht="14.25" customHeight="1" x14ac:dyDescent="0.3">
      <c r="A266" s="3" t="s">
        <v>335</v>
      </c>
      <c r="B266" s="3" t="s">
        <v>336</v>
      </c>
      <c r="C266" s="3">
        <v>4.8</v>
      </c>
      <c r="D266" s="3">
        <v>548</v>
      </c>
      <c r="E266" s="4">
        <v>11</v>
      </c>
      <c r="F266" s="3">
        <v>2010</v>
      </c>
      <c r="G266" s="3" t="s">
        <v>14</v>
      </c>
    </row>
    <row r="267" spans="1:7" ht="14.25" customHeight="1" x14ac:dyDescent="0.3">
      <c r="A267" s="3" t="s">
        <v>337</v>
      </c>
      <c r="B267" s="3" t="s">
        <v>338</v>
      </c>
      <c r="C267" s="3">
        <v>4.8</v>
      </c>
      <c r="D267" s="3">
        <v>16990</v>
      </c>
      <c r="E267" s="4">
        <v>11</v>
      </c>
      <c r="F267" s="3">
        <v>2017</v>
      </c>
      <c r="G267" s="3" t="s">
        <v>14</v>
      </c>
    </row>
    <row r="268" spans="1:7" ht="14.25" customHeight="1" x14ac:dyDescent="0.3">
      <c r="A268" s="3" t="s">
        <v>337</v>
      </c>
      <c r="B268" s="3" t="s">
        <v>338</v>
      </c>
      <c r="C268" s="3">
        <v>4.8</v>
      </c>
      <c r="D268" s="3">
        <v>16990</v>
      </c>
      <c r="E268" s="4">
        <v>11</v>
      </c>
      <c r="F268" s="3">
        <v>2018</v>
      </c>
      <c r="G268" s="3" t="s">
        <v>14</v>
      </c>
    </row>
    <row r="269" spans="1:7" ht="14.25" customHeight="1" x14ac:dyDescent="0.3">
      <c r="A269" s="3" t="s">
        <v>337</v>
      </c>
      <c r="B269" s="3" t="s">
        <v>338</v>
      </c>
      <c r="C269" s="3">
        <v>4.8</v>
      </c>
      <c r="D269" s="3">
        <v>16990</v>
      </c>
      <c r="E269" s="4">
        <v>11</v>
      </c>
      <c r="F269" s="3">
        <v>2019</v>
      </c>
      <c r="G269" s="3" t="s">
        <v>14</v>
      </c>
    </row>
    <row r="270" spans="1:7" ht="14.25" customHeight="1" x14ac:dyDescent="0.3">
      <c r="A270" s="3" t="s">
        <v>339</v>
      </c>
      <c r="B270" s="3" t="s">
        <v>218</v>
      </c>
      <c r="C270" s="3">
        <v>4.7</v>
      </c>
      <c r="D270" s="3">
        <v>3503</v>
      </c>
      <c r="E270" s="4">
        <v>11</v>
      </c>
      <c r="F270" s="3">
        <v>2016</v>
      </c>
      <c r="G270" s="3" t="s">
        <v>14</v>
      </c>
    </row>
    <row r="271" spans="1:7" ht="14.25" customHeight="1" x14ac:dyDescent="0.3">
      <c r="A271" s="3" t="s">
        <v>340</v>
      </c>
      <c r="B271" s="3" t="s">
        <v>341</v>
      </c>
      <c r="C271" s="3">
        <v>4.3</v>
      </c>
      <c r="D271" s="3">
        <v>13616</v>
      </c>
      <c r="E271" s="4">
        <v>11</v>
      </c>
      <c r="F271" s="3">
        <v>2012</v>
      </c>
      <c r="G271" s="3" t="s">
        <v>11</v>
      </c>
    </row>
    <row r="272" spans="1:7" ht="14.25" customHeight="1" x14ac:dyDescent="0.3">
      <c r="A272" s="3" t="s">
        <v>340</v>
      </c>
      <c r="B272" s="3" t="s">
        <v>341</v>
      </c>
      <c r="C272" s="3">
        <v>4.3</v>
      </c>
      <c r="D272" s="3">
        <v>13616</v>
      </c>
      <c r="E272" s="4">
        <v>11</v>
      </c>
      <c r="F272" s="3">
        <v>2013</v>
      </c>
      <c r="G272" s="3" t="s">
        <v>11</v>
      </c>
    </row>
    <row r="273" spans="1:7" ht="14.25" customHeight="1" x14ac:dyDescent="0.3">
      <c r="A273" s="3" t="s">
        <v>342</v>
      </c>
      <c r="B273" s="3" t="s">
        <v>343</v>
      </c>
      <c r="C273" s="3">
        <v>4.5</v>
      </c>
      <c r="D273" s="3">
        <v>8580</v>
      </c>
      <c r="E273" s="4">
        <v>11</v>
      </c>
      <c r="F273" s="3">
        <v>2009</v>
      </c>
      <c r="G273" s="3" t="s">
        <v>11</v>
      </c>
    </row>
    <row r="274" spans="1:7" ht="14.25" customHeight="1" x14ac:dyDescent="0.3">
      <c r="A274" s="3" t="s">
        <v>342</v>
      </c>
      <c r="B274" s="3" t="s">
        <v>343</v>
      </c>
      <c r="C274" s="3">
        <v>4.5</v>
      </c>
      <c r="D274" s="3">
        <v>8580</v>
      </c>
      <c r="E274" s="4">
        <v>11</v>
      </c>
      <c r="F274" s="3">
        <v>2010</v>
      </c>
      <c r="G274" s="3" t="s">
        <v>11</v>
      </c>
    </row>
    <row r="275" spans="1:7" ht="14.25" customHeight="1" x14ac:dyDescent="0.3">
      <c r="A275" s="3" t="s">
        <v>342</v>
      </c>
      <c r="B275" s="3" t="s">
        <v>343</v>
      </c>
      <c r="C275" s="3">
        <v>4.5</v>
      </c>
      <c r="D275" s="3">
        <v>8580</v>
      </c>
      <c r="E275" s="4">
        <v>11</v>
      </c>
      <c r="F275" s="3">
        <v>2011</v>
      </c>
      <c r="G275" s="3" t="s">
        <v>11</v>
      </c>
    </row>
    <row r="276" spans="1:7" ht="14.25" customHeight="1" x14ac:dyDescent="0.3">
      <c r="A276" s="3" t="s">
        <v>342</v>
      </c>
      <c r="B276" s="3" t="s">
        <v>343</v>
      </c>
      <c r="C276" s="3">
        <v>4.5</v>
      </c>
      <c r="D276" s="3">
        <v>8580</v>
      </c>
      <c r="E276" s="4">
        <v>11</v>
      </c>
      <c r="F276" s="3">
        <v>2012</v>
      </c>
      <c r="G276" s="3" t="s">
        <v>11</v>
      </c>
    </row>
    <row r="277" spans="1:7" ht="14.25" customHeight="1" x14ac:dyDescent="0.3">
      <c r="A277" s="3" t="s">
        <v>342</v>
      </c>
      <c r="B277" s="3" t="s">
        <v>343</v>
      </c>
      <c r="C277" s="3">
        <v>4.5</v>
      </c>
      <c r="D277" s="3">
        <v>8580</v>
      </c>
      <c r="E277" s="4">
        <v>11</v>
      </c>
      <c r="F277" s="3">
        <v>2013</v>
      </c>
      <c r="G277" s="3" t="s">
        <v>11</v>
      </c>
    </row>
    <row r="278" spans="1:7" ht="14.25" customHeight="1" x14ac:dyDescent="0.3">
      <c r="A278" s="3" t="s">
        <v>342</v>
      </c>
      <c r="B278" s="3" t="s">
        <v>343</v>
      </c>
      <c r="C278" s="3">
        <v>4.5</v>
      </c>
      <c r="D278" s="3">
        <v>8580</v>
      </c>
      <c r="E278" s="4">
        <v>11</v>
      </c>
      <c r="F278" s="3">
        <v>2014</v>
      </c>
      <c r="G278" s="3" t="s">
        <v>11</v>
      </c>
    </row>
    <row r="279" spans="1:7" ht="14.25" customHeight="1" x14ac:dyDescent="0.3">
      <c r="A279" s="3" t="s">
        <v>342</v>
      </c>
      <c r="B279" s="3" t="s">
        <v>343</v>
      </c>
      <c r="C279" s="3">
        <v>4.5</v>
      </c>
      <c r="D279" s="3">
        <v>8580</v>
      </c>
      <c r="E279" s="4">
        <v>11</v>
      </c>
      <c r="F279" s="3">
        <v>2015</v>
      </c>
      <c r="G279" s="3" t="s">
        <v>11</v>
      </c>
    </row>
    <row r="280" spans="1:7" ht="14.25" customHeight="1" x14ac:dyDescent="0.3">
      <c r="A280" s="3" t="s">
        <v>342</v>
      </c>
      <c r="B280" s="3" t="s">
        <v>343</v>
      </c>
      <c r="C280" s="3">
        <v>4.5</v>
      </c>
      <c r="D280" s="3">
        <v>8580</v>
      </c>
      <c r="E280" s="4">
        <v>11</v>
      </c>
      <c r="F280" s="3">
        <v>2016</v>
      </c>
      <c r="G280" s="3" t="s">
        <v>11</v>
      </c>
    </row>
    <row r="281" spans="1:7" ht="14.25" customHeight="1" x14ac:dyDescent="0.3">
      <c r="A281" s="3" t="s">
        <v>342</v>
      </c>
      <c r="B281" s="3" t="s">
        <v>343</v>
      </c>
      <c r="C281" s="3">
        <v>4.5</v>
      </c>
      <c r="D281" s="3">
        <v>8580</v>
      </c>
      <c r="E281" s="4">
        <v>11</v>
      </c>
      <c r="F281" s="3">
        <v>2017</v>
      </c>
      <c r="G281" s="3" t="s">
        <v>11</v>
      </c>
    </row>
    <row r="282" spans="1:7" ht="14.25" customHeight="1" x14ac:dyDescent="0.3">
      <c r="A282" s="3" t="s">
        <v>342</v>
      </c>
      <c r="B282" s="3" t="s">
        <v>343</v>
      </c>
      <c r="C282" s="3">
        <v>4.5</v>
      </c>
      <c r="D282" s="3">
        <v>8580</v>
      </c>
      <c r="E282" s="4">
        <v>11</v>
      </c>
      <c r="F282" s="3">
        <v>2018</v>
      </c>
      <c r="G282" s="3" t="s">
        <v>11</v>
      </c>
    </row>
    <row r="283" spans="1:7" ht="14.25" customHeight="1" x14ac:dyDescent="0.3">
      <c r="A283" s="3" t="s">
        <v>344</v>
      </c>
      <c r="B283" s="3" t="s">
        <v>345</v>
      </c>
      <c r="C283" s="3">
        <v>4.8</v>
      </c>
      <c r="D283" s="3">
        <v>4757</v>
      </c>
      <c r="E283" s="4">
        <v>11</v>
      </c>
      <c r="F283" s="3">
        <v>2017</v>
      </c>
      <c r="G283" s="3" t="s">
        <v>14</v>
      </c>
    </row>
    <row r="284" spans="1:7" ht="14.25" customHeight="1" x14ac:dyDescent="0.3">
      <c r="A284" s="3" t="s">
        <v>346</v>
      </c>
      <c r="B284" s="3" t="s">
        <v>347</v>
      </c>
      <c r="C284" s="3">
        <v>4.5999999999999996</v>
      </c>
      <c r="D284" s="3">
        <v>10009</v>
      </c>
      <c r="E284" s="4">
        <v>11</v>
      </c>
      <c r="F284" s="3">
        <v>2012</v>
      </c>
      <c r="G284" s="3" t="s">
        <v>11</v>
      </c>
    </row>
    <row r="285" spans="1:7" ht="14.25" customHeight="1" x14ac:dyDescent="0.3">
      <c r="A285" s="3" t="s">
        <v>346</v>
      </c>
      <c r="B285" s="3" t="s">
        <v>347</v>
      </c>
      <c r="C285" s="3">
        <v>4.5999999999999996</v>
      </c>
      <c r="D285" s="3">
        <v>10009</v>
      </c>
      <c r="E285" s="4">
        <v>11</v>
      </c>
      <c r="F285" s="3">
        <v>2013</v>
      </c>
      <c r="G285" s="3" t="s">
        <v>11</v>
      </c>
    </row>
    <row r="286" spans="1:7" ht="14.25" customHeight="1" x14ac:dyDescent="0.3">
      <c r="A286" s="3" t="s">
        <v>348</v>
      </c>
      <c r="B286" s="3" t="s">
        <v>349</v>
      </c>
      <c r="C286" s="3">
        <v>4.7</v>
      </c>
      <c r="D286" s="3">
        <v>1985</v>
      </c>
      <c r="E286" s="4">
        <v>10</v>
      </c>
      <c r="F286" s="3">
        <v>2010</v>
      </c>
      <c r="G286" s="3" t="s">
        <v>11</v>
      </c>
    </row>
    <row r="287" spans="1:7" ht="14.25" customHeight="1" x14ac:dyDescent="0.3">
      <c r="A287" s="3" t="s">
        <v>348</v>
      </c>
      <c r="B287" s="3" t="s">
        <v>349</v>
      </c>
      <c r="C287" s="3">
        <v>4.7</v>
      </c>
      <c r="D287" s="3">
        <v>1985</v>
      </c>
      <c r="E287" s="4">
        <v>10</v>
      </c>
      <c r="F287" s="3">
        <v>2011</v>
      </c>
      <c r="G287" s="3" t="s">
        <v>11</v>
      </c>
    </row>
    <row r="288" spans="1:7" ht="14.25" customHeight="1" x14ac:dyDescent="0.3">
      <c r="A288" s="3" t="s">
        <v>350</v>
      </c>
      <c r="B288" s="3" t="s">
        <v>351</v>
      </c>
      <c r="C288" s="3">
        <v>4.5999999999999996</v>
      </c>
      <c r="D288" s="3">
        <v>22536</v>
      </c>
      <c r="E288" s="4">
        <v>10</v>
      </c>
      <c r="F288" s="3">
        <v>2017</v>
      </c>
      <c r="G288" s="3" t="s">
        <v>14</v>
      </c>
    </row>
    <row r="289" spans="1:7" ht="14.25" customHeight="1" x14ac:dyDescent="0.3">
      <c r="A289" s="3" t="s">
        <v>350</v>
      </c>
      <c r="B289" s="3" t="s">
        <v>351</v>
      </c>
      <c r="C289" s="3">
        <v>4.5999999999999996</v>
      </c>
      <c r="D289" s="3">
        <v>22536</v>
      </c>
      <c r="E289" s="4">
        <v>10</v>
      </c>
      <c r="F289" s="3">
        <v>2018</v>
      </c>
      <c r="G289" s="3" t="s">
        <v>14</v>
      </c>
    </row>
    <row r="290" spans="1:7" ht="14.25" customHeight="1" x14ac:dyDescent="0.3">
      <c r="A290" s="3" t="s">
        <v>352</v>
      </c>
      <c r="B290" s="3" t="s">
        <v>353</v>
      </c>
      <c r="C290" s="3">
        <v>4.9000000000000004</v>
      </c>
      <c r="D290" s="3">
        <v>7150</v>
      </c>
      <c r="E290" s="4">
        <v>10</v>
      </c>
      <c r="F290" s="3">
        <v>2013</v>
      </c>
      <c r="G290" s="3" t="s">
        <v>14</v>
      </c>
    </row>
    <row r="291" spans="1:7" ht="14.25" customHeight="1" x14ac:dyDescent="0.3">
      <c r="A291" s="3" t="s">
        <v>354</v>
      </c>
      <c r="B291" s="3" t="s">
        <v>353</v>
      </c>
      <c r="C291" s="3">
        <v>4.9000000000000004</v>
      </c>
      <c r="D291" s="3">
        <v>3836</v>
      </c>
      <c r="E291" s="4">
        <v>10</v>
      </c>
      <c r="F291" s="3">
        <v>2014</v>
      </c>
      <c r="G291" s="3" t="s">
        <v>14</v>
      </c>
    </row>
    <row r="292" spans="1:7" ht="14.25" customHeight="1" x14ac:dyDescent="0.3">
      <c r="A292" s="3" t="s">
        <v>355</v>
      </c>
      <c r="B292" s="3" t="s">
        <v>356</v>
      </c>
      <c r="C292" s="3">
        <v>4.8</v>
      </c>
      <c r="D292" s="3">
        <v>7802</v>
      </c>
      <c r="E292" s="4">
        <v>10</v>
      </c>
      <c r="F292" s="3">
        <v>2018</v>
      </c>
      <c r="G292" s="3" t="s">
        <v>11</v>
      </c>
    </row>
    <row r="293" spans="1:7" ht="14.25" customHeight="1" x14ac:dyDescent="0.3">
      <c r="A293" s="3" t="s">
        <v>355</v>
      </c>
      <c r="B293" s="3" t="s">
        <v>356</v>
      </c>
      <c r="C293" s="3">
        <v>4.8</v>
      </c>
      <c r="D293" s="3">
        <v>7802</v>
      </c>
      <c r="E293" s="4">
        <v>10</v>
      </c>
      <c r="F293" s="3">
        <v>2019</v>
      </c>
      <c r="G293" s="3" t="s">
        <v>11</v>
      </c>
    </row>
    <row r="294" spans="1:7" ht="14.25" customHeight="1" x14ac:dyDescent="0.3">
      <c r="A294" s="3" t="s">
        <v>357</v>
      </c>
      <c r="B294" s="3" t="s">
        <v>358</v>
      </c>
      <c r="C294" s="3">
        <v>4.5999999999999996</v>
      </c>
      <c r="D294" s="3">
        <v>3619</v>
      </c>
      <c r="E294" s="4">
        <v>10</v>
      </c>
      <c r="F294" s="3">
        <v>2010</v>
      </c>
      <c r="G294" s="3" t="s">
        <v>14</v>
      </c>
    </row>
    <row r="295" spans="1:7" ht="14.25" customHeight="1" x14ac:dyDescent="0.3">
      <c r="A295" s="3" t="s">
        <v>359</v>
      </c>
      <c r="B295" s="3" t="s">
        <v>360</v>
      </c>
      <c r="C295" s="3">
        <v>4.8</v>
      </c>
      <c r="D295" s="3">
        <v>23047</v>
      </c>
      <c r="E295" s="4">
        <v>10</v>
      </c>
      <c r="F295" s="3">
        <v>2018</v>
      </c>
      <c r="G295" s="3" t="s">
        <v>11</v>
      </c>
    </row>
    <row r="296" spans="1:7" ht="14.25" customHeight="1" x14ac:dyDescent="0.3">
      <c r="A296" s="3" t="s">
        <v>359</v>
      </c>
      <c r="B296" s="3" t="s">
        <v>360</v>
      </c>
      <c r="C296" s="3">
        <v>4.8</v>
      </c>
      <c r="D296" s="3">
        <v>23047</v>
      </c>
      <c r="E296" s="4">
        <v>10</v>
      </c>
      <c r="F296" s="3">
        <v>2019</v>
      </c>
      <c r="G296" s="3" t="s">
        <v>11</v>
      </c>
    </row>
    <row r="297" spans="1:7" ht="14.25" customHeight="1" x14ac:dyDescent="0.3">
      <c r="A297" s="3" t="s">
        <v>361</v>
      </c>
      <c r="B297" s="3" t="s">
        <v>152</v>
      </c>
      <c r="C297" s="3">
        <v>4.7</v>
      </c>
      <c r="D297" s="3">
        <v>9366</v>
      </c>
      <c r="E297" s="4">
        <v>10</v>
      </c>
      <c r="F297" s="3">
        <v>2015</v>
      </c>
      <c r="G297" s="3" t="s">
        <v>11</v>
      </c>
    </row>
    <row r="298" spans="1:7" ht="14.25" customHeight="1" x14ac:dyDescent="0.3">
      <c r="A298" s="3" t="s">
        <v>362</v>
      </c>
      <c r="B298" s="3" t="s">
        <v>363</v>
      </c>
      <c r="C298" s="3">
        <v>4.7</v>
      </c>
      <c r="D298" s="3">
        <v>1265</v>
      </c>
      <c r="E298" s="4">
        <v>10</v>
      </c>
      <c r="F298" s="3">
        <v>2010</v>
      </c>
      <c r="G298" s="3" t="s">
        <v>11</v>
      </c>
    </row>
    <row r="299" spans="1:7" ht="14.25" customHeight="1" x14ac:dyDescent="0.3">
      <c r="A299" s="3" t="s">
        <v>364</v>
      </c>
      <c r="B299" s="3" t="s">
        <v>365</v>
      </c>
      <c r="C299" s="3">
        <v>4.8</v>
      </c>
      <c r="D299" s="3">
        <v>3923</v>
      </c>
      <c r="E299" s="4">
        <v>10</v>
      </c>
      <c r="F299" s="3">
        <v>2018</v>
      </c>
      <c r="G299" s="3" t="s">
        <v>11</v>
      </c>
    </row>
    <row r="300" spans="1:7" ht="14.25" customHeight="1" x14ac:dyDescent="0.3">
      <c r="A300" s="3" t="s">
        <v>366</v>
      </c>
      <c r="B300" s="3" t="s">
        <v>367</v>
      </c>
      <c r="C300" s="3">
        <v>4.0999999999999996</v>
      </c>
      <c r="D300" s="3">
        <v>2272</v>
      </c>
      <c r="E300" s="4">
        <v>10</v>
      </c>
      <c r="F300" s="3">
        <v>2013</v>
      </c>
      <c r="G300" s="3" t="s">
        <v>11</v>
      </c>
    </row>
    <row r="301" spans="1:7" ht="14.25" customHeight="1" x14ac:dyDescent="0.3">
      <c r="A301" s="3" t="s">
        <v>368</v>
      </c>
      <c r="B301" s="3" t="s">
        <v>108</v>
      </c>
      <c r="C301" s="3">
        <v>4.7</v>
      </c>
      <c r="D301" s="3">
        <v>973</v>
      </c>
      <c r="E301" s="4">
        <v>10</v>
      </c>
      <c r="F301" s="3">
        <v>2009</v>
      </c>
      <c r="G301" s="3" t="s">
        <v>14</v>
      </c>
    </row>
    <row r="302" spans="1:7" ht="14.25" customHeight="1" x14ac:dyDescent="0.3">
      <c r="A302" s="3" t="s">
        <v>369</v>
      </c>
      <c r="B302" s="3" t="s">
        <v>127</v>
      </c>
      <c r="C302" s="3">
        <v>4.5999999999999996</v>
      </c>
      <c r="D302" s="3">
        <v>220</v>
      </c>
      <c r="E302" s="4">
        <v>10</v>
      </c>
      <c r="F302" s="3">
        <v>2013</v>
      </c>
      <c r="G302" s="3" t="s">
        <v>11</v>
      </c>
    </row>
    <row r="303" spans="1:7" ht="14.25" customHeight="1" x14ac:dyDescent="0.3">
      <c r="A303" s="3" t="s">
        <v>370</v>
      </c>
      <c r="B303" s="3" t="s">
        <v>278</v>
      </c>
      <c r="C303" s="3">
        <v>4.5999999999999996</v>
      </c>
      <c r="D303" s="3">
        <v>7827</v>
      </c>
      <c r="E303" s="4">
        <v>10</v>
      </c>
      <c r="F303" s="3">
        <v>2011</v>
      </c>
      <c r="G303" s="3" t="s">
        <v>11</v>
      </c>
    </row>
    <row r="304" spans="1:7" ht="14.25" customHeight="1" x14ac:dyDescent="0.3">
      <c r="A304" s="3" t="s">
        <v>370</v>
      </c>
      <c r="B304" s="3" t="s">
        <v>278</v>
      </c>
      <c r="C304" s="3">
        <v>4.5999999999999996</v>
      </c>
      <c r="D304" s="3">
        <v>7827</v>
      </c>
      <c r="E304" s="4">
        <v>10</v>
      </c>
      <c r="F304" s="3">
        <v>2012</v>
      </c>
      <c r="G304" s="3" t="s">
        <v>11</v>
      </c>
    </row>
    <row r="305" spans="1:7" ht="14.25" customHeight="1" x14ac:dyDescent="0.3">
      <c r="A305" s="3" t="s">
        <v>371</v>
      </c>
      <c r="B305" s="3" t="s">
        <v>372</v>
      </c>
      <c r="C305" s="3">
        <v>4.9000000000000004</v>
      </c>
      <c r="D305" s="3">
        <v>9382</v>
      </c>
      <c r="E305" s="4">
        <v>10</v>
      </c>
      <c r="F305" s="3">
        <v>2019</v>
      </c>
      <c r="G305" s="3" t="s">
        <v>14</v>
      </c>
    </row>
    <row r="306" spans="1:7" ht="14.25" customHeight="1" x14ac:dyDescent="0.3">
      <c r="A306" s="3" t="s">
        <v>373</v>
      </c>
      <c r="B306" s="3" t="s">
        <v>374</v>
      </c>
      <c r="C306" s="3">
        <v>4</v>
      </c>
      <c r="D306" s="3">
        <v>5069</v>
      </c>
      <c r="E306" s="4">
        <v>10</v>
      </c>
      <c r="F306" s="3">
        <v>2009</v>
      </c>
      <c r="G306" s="3" t="s">
        <v>11</v>
      </c>
    </row>
    <row r="307" spans="1:7" ht="14.25" customHeight="1" x14ac:dyDescent="0.3">
      <c r="A307" s="3" t="s">
        <v>373</v>
      </c>
      <c r="B307" s="3" t="s">
        <v>374</v>
      </c>
      <c r="C307" s="3">
        <v>4</v>
      </c>
      <c r="D307" s="3">
        <v>5069</v>
      </c>
      <c r="E307" s="4">
        <v>10</v>
      </c>
      <c r="F307" s="3">
        <v>2010</v>
      </c>
      <c r="G307" s="3" t="s">
        <v>11</v>
      </c>
    </row>
    <row r="308" spans="1:7" ht="14.25" customHeight="1" x14ac:dyDescent="0.3">
      <c r="A308" s="3" t="s">
        <v>373</v>
      </c>
      <c r="B308" s="3" t="s">
        <v>374</v>
      </c>
      <c r="C308" s="3">
        <v>4</v>
      </c>
      <c r="D308" s="3">
        <v>5069</v>
      </c>
      <c r="E308" s="4">
        <v>10</v>
      </c>
      <c r="F308" s="3">
        <v>2011</v>
      </c>
      <c r="G308" s="3" t="s">
        <v>11</v>
      </c>
    </row>
    <row r="309" spans="1:7" ht="14.25" customHeight="1" x14ac:dyDescent="0.3">
      <c r="A309" s="3" t="s">
        <v>373</v>
      </c>
      <c r="B309" s="3" t="s">
        <v>374</v>
      </c>
      <c r="C309" s="3">
        <v>4</v>
      </c>
      <c r="D309" s="3">
        <v>5069</v>
      </c>
      <c r="E309" s="4">
        <v>10</v>
      </c>
      <c r="F309" s="3">
        <v>2012</v>
      </c>
      <c r="G309" s="3" t="s">
        <v>11</v>
      </c>
    </row>
    <row r="310" spans="1:7" ht="14.25" customHeight="1" x14ac:dyDescent="0.3">
      <c r="A310" s="3" t="s">
        <v>373</v>
      </c>
      <c r="B310" s="3" t="s">
        <v>374</v>
      </c>
      <c r="C310" s="3">
        <v>4</v>
      </c>
      <c r="D310" s="3">
        <v>5069</v>
      </c>
      <c r="E310" s="4">
        <v>10</v>
      </c>
      <c r="F310" s="3">
        <v>2013</v>
      </c>
      <c r="G310" s="3" t="s">
        <v>11</v>
      </c>
    </row>
    <row r="311" spans="1:7" ht="14.25" customHeight="1" x14ac:dyDescent="0.3">
      <c r="A311" s="3" t="s">
        <v>373</v>
      </c>
      <c r="B311" s="3" t="s">
        <v>374</v>
      </c>
      <c r="C311" s="3">
        <v>4</v>
      </c>
      <c r="D311" s="3">
        <v>5069</v>
      </c>
      <c r="E311" s="4">
        <v>10</v>
      </c>
      <c r="F311" s="3">
        <v>2014</v>
      </c>
      <c r="G311" s="3" t="s">
        <v>11</v>
      </c>
    </row>
    <row r="312" spans="1:7" ht="14.25" customHeight="1" x14ac:dyDescent="0.3">
      <c r="A312" s="3" t="s">
        <v>373</v>
      </c>
      <c r="B312" s="3" t="s">
        <v>374</v>
      </c>
      <c r="C312" s="3">
        <v>4</v>
      </c>
      <c r="D312" s="3">
        <v>5069</v>
      </c>
      <c r="E312" s="4">
        <v>10</v>
      </c>
      <c r="F312" s="3">
        <v>2015</v>
      </c>
      <c r="G312" s="3" t="s">
        <v>11</v>
      </c>
    </row>
    <row r="313" spans="1:7" ht="14.25" customHeight="1" x14ac:dyDescent="0.3">
      <c r="A313" s="3" t="s">
        <v>373</v>
      </c>
      <c r="B313" s="3" t="s">
        <v>374</v>
      </c>
      <c r="C313" s="3">
        <v>4</v>
      </c>
      <c r="D313" s="3">
        <v>5069</v>
      </c>
      <c r="E313" s="4">
        <v>10</v>
      </c>
      <c r="F313" s="3">
        <v>2016</v>
      </c>
      <c r="G313" s="3" t="s">
        <v>11</v>
      </c>
    </row>
    <row r="314" spans="1:7" ht="14.25" customHeight="1" x14ac:dyDescent="0.3">
      <c r="A314" s="3" t="s">
        <v>373</v>
      </c>
      <c r="B314" s="3" t="s">
        <v>374</v>
      </c>
      <c r="C314" s="3">
        <v>4</v>
      </c>
      <c r="D314" s="3">
        <v>5069</v>
      </c>
      <c r="E314" s="4">
        <v>9</v>
      </c>
      <c r="F314" s="3">
        <v>2017</v>
      </c>
      <c r="G314" s="3" t="s">
        <v>11</v>
      </c>
    </row>
    <row r="315" spans="1:7" ht="14.25" customHeight="1" x14ac:dyDescent="0.3">
      <c r="A315" s="3" t="s">
        <v>375</v>
      </c>
      <c r="B315" s="3" t="s">
        <v>376</v>
      </c>
      <c r="C315" s="3">
        <v>4.5</v>
      </c>
      <c r="D315" s="3">
        <v>1583</v>
      </c>
      <c r="E315" s="4">
        <v>9</v>
      </c>
      <c r="F315" s="3">
        <v>2009</v>
      </c>
      <c r="G315" s="3" t="s">
        <v>11</v>
      </c>
    </row>
    <row r="316" spans="1:7" ht="14.25" customHeight="1" x14ac:dyDescent="0.3">
      <c r="A316" s="3" t="s">
        <v>377</v>
      </c>
      <c r="B316" s="3" t="s">
        <v>378</v>
      </c>
      <c r="C316" s="3">
        <v>4.5999999999999996</v>
      </c>
      <c r="D316" s="3">
        <v>1907</v>
      </c>
      <c r="E316" s="4">
        <v>9</v>
      </c>
      <c r="F316" s="3">
        <v>2010</v>
      </c>
      <c r="G316" s="3" t="s">
        <v>11</v>
      </c>
    </row>
    <row r="317" spans="1:7" ht="14.25" customHeight="1" x14ac:dyDescent="0.3">
      <c r="A317" s="3" t="s">
        <v>379</v>
      </c>
      <c r="B317" s="3" t="s">
        <v>380</v>
      </c>
      <c r="C317" s="3">
        <v>4.5</v>
      </c>
      <c r="D317" s="3">
        <v>23114</v>
      </c>
      <c r="E317" s="4">
        <v>9</v>
      </c>
      <c r="F317" s="3">
        <v>2013</v>
      </c>
      <c r="G317" s="3" t="s">
        <v>14</v>
      </c>
    </row>
    <row r="318" spans="1:7" ht="14.25" customHeight="1" x14ac:dyDescent="0.3">
      <c r="A318" s="3" t="s">
        <v>381</v>
      </c>
      <c r="B318" s="3" t="s">
        <v>382</v>
      </c>
      <c r="C318" s="3">
        <v>4.4000000000000004</v>
      </c>
      <c r="D318" s="3">
        <v>637</v>
      </c>
      <c r="E318" s="4">
        <v>9</v>
      </c>
      <c r="F318" s="3">
        <v>2010</v>
      </c>
      <c r="G318" s="3" t="s">
        <v>11</v>
      </c>
    </row>
    <row r="319" spans="1:7" ht="14.25" customHeight="1" x14ac:dyDescent="0.3">
      <c r="A319" s="3" t="s">
        <v>381</v>
      </c>
      <c r="B319" s="3" t="s">
        <v>382</v>
      </c>
      <c r="C319" s="3">
        <v>4.4000000000000004</v>
      </c>
      <c r="D319" s="3">
        <v>637</v>
      </c>
      <c r="E319" s="4">
        <v>9</v>
      </c>
      <c r="F319" s="3">
        <v>2011</v>
      </c>
      <c r="G319" s="3" t="s">
        <v>11</v>
      </c>
    </row>
    <row r="320" spans="1:7" ht="14.25" customHeight="1" x14ac:dyDescent="0.3">
      <c r="A320" s="3" t="s">
        <v>383</v>
      </c>
      <c r="B320" s="3" t="s">
        <v>384</v>
      </c>
      <c r="C320" s="3">
        <v>4.3</v>
      </c>
      <c r="D320" s="3">
        <v>2314</v>
      </c>
      <c r="E320" s="4">
        <v>9</v>
      </c>
      <c r="F320" s="3">
        <v>2011</v>
      </c>
      <c r="G320" s="3" t="s">
        <v>11</v>
      </c>
    </row>
    <row r="321" spans="1:7" ht="14.25" customHeight="1" x14ac:dyDescent="0.3">
      <c r="A321" s="3" t="s">
        <v>385</v>
      </c>
      <c r="B321" s="3" t="s">
        <v>386</v>
      </c>
      <c r="C321" s="3">
        <v>4.3</v>
      </c>
      <c r="D321" s="3">
        <v>4587</v>
      </c>
      <c r="E321" s="4">
        <v>9</v>
      </c>
      <c r="F321" s="3">
        <v>2011</v>
      </c>
      <c r="G321" s="3" t="s">
        <v>11</v>
      </c>
    </row>
    <row r="322" spans="1:7" ht="14.25" customHeight="1" x14ac:dyDescent="0.3">
      <c r="A322" s="3" t="s">
        <v>387</v>
      </c>
      <c r="B322" s="3" t="s">
        <v>388</v>
      </c>
      <c r="C322" s="3">
        <v>4.7</v>
      </c>
      <c r="D322" s="3">
        <v>3477</v>
      </c>
      <c r="E322" s="4">
        <v>9</v>
      </c>
      <c r="F322" s="3">
        <v>2010</v>
      </c>
      <c r="G322" s="3" t="s">
        <v>11</v>
      </c>
    </row>
    <row r="323" spans="1:7" ht="14.25" customHeight="1" x14ac:dyDescent="0.3">
      <c r="A323" s="3" t="s">
        <v>387</v>
      </c>
      <c r="B323" s="3" t="s">
        <v>388</v>
      </c>
      <c r="C323" s="3">
        <v>4.7</v>
      </c>
      <c r="D323" s="3">
        <v>3477</v>
      </c>
      <c r="E323" s="4">
        <v>9</v>
      </c>
      <c r="F323" s="3">
        <v>2011</v>
      </c>
      <c r="G323" s="3" t="s">
        <v>11</v>
      </c>
    </row>
    <row r="324" spans="1:7" ht="14.25" customHeight="1" x14ac:dyDescent="0.3">
      <c r="A324" s="3" t="s">
        <v>387</v>
      </c>
      <c r="B324" s="3" t="s">
        <v>388</v>
      </c>
      <c r="C324" s="3">
        <v>4.7</v>
      </c>
      <c r="D324" s="3">
        <v>3477</v>
      </c>
      <c r="E324" s="4">
        <v>9</v>
      </c>
      <c r="F324" s="3">
        <v>2012</v>
      </c>
      <c r="G324" s="3" t="s">
        <v>11</v>
      </c>
    </row>
    <row r="325" spans="1:7" ht="14.25" customHeight="1" x14ac:dyDescent="0.3">
      <c r="A325" s="3" t="s">
        <v>387</v>
      </c>
      <c r="B325" s="3" t="s">
        <v>388</v>
      </c>
      <c r="C325" s="3">
        <v>4.7</v>
      </c>
      <c r="D325" s="3">
        <v>3477</v>
      </c>
      <c r="E325" s="4">
        <v>9</v>
      </c>
      <c r="F325" s="3">
        <v>2013</v>
      </c>
      <c r="G325" s="3" t="s">
        <v>11</v>
      </c>
    </row>
    <row r="326" spans="1:7" ht="14.25" customHeight="1" x14ac:dyDescent="0.3">
      <c r="A326" s="3" t="s">
        <v>387</v>
      </c>
      <c r="B326" s="3" t="s">
        <v>388</v>
      </c>
      <c r="C326" s="3">
        <v>4.7</v>
      </c>
      <c r="D326" s="3">
        <v>3477</v>
      </c>
      <c r="E326" s="4">
        <v>9</v>
      </c>
      <c r="F326" s="3">
        <v>2014</v>
      </c>
      <c r="G326" s="3" t="s">
        <v>11</v>
      </c>
    </row>
    <row r="327" spans="1:7" ht="14.25" customHeight="1" x14ac:dyDescent="0.3">
      <c r="A327" s="3" t="s">
        <v>389</v>
      </c>
      <c r="B327" s="3" t="s">
        <v>388</v>
      </c>
      <c r="C327" s="3">
        <v>4.8</v>
      </c>
      <c r="D327" s="3">
        <v>25554</v>
      </c>
      <c r="E327" s="4">
        <v>9</v>
      </c>
      <c r="F327" s="3">
        <v>2015</v>
      </c>
      <c r="G327" s="3" t="s">
        <v>11</v>
      </c>
    </row>
    <row r="328" spans="1:7" ht="14.25" customHeight="1" x14ac:dyDescent="0.3">
      <c r="A328" s="3" t="s">
        <v>389</v>
      </c>
      <c r="B328" s="3" t="s">
        <v>388</v>
      </c>
      <c r="C328" s="3">
        <v>4.8</v>
      </c>
      <c r="D328" s="3">
        <v>25554</v>
      </c>
      <c r="E328" s="4">
        <v>9</v>
      </c>
      <c r="F328" s="3">
        <v>2016</v>
      </c>
      <c r="G328" s="3" t="s">
        <v>11</v>
      </c>
    </row>
    <row r="329" spans="1:7" ht="14.25" customHeight="1" x14ac:dyDescent="0.3">
      <c r="A329" s="3" t="s">
        <v>389</v>
      </c>
      <c r="B329" s="3" t="s">
        <v>388</v>
      </c>
      <c r="C329" s="3">
        <v>4.8</v>
      </c>
      <c r="D329" s="3">
        <v>25554</v>
      </c>
      <c r="E329" s="4">
        <v>9</v>
      </c>
      <c r="F329" s="3">
        <v>2017</v>
      </c>
      <c r="G329" s="3" t="s">
        <v>11</v>
      </c>
    </row>
    <row r="330" spans="1:7" ht="14.25" customHeight="1" x14ac:dyDescent="0.3">
      <c r="A330" s="3" t="s">
        <v>389</v>
      </c>
      <c r="B330" s="3" t="s">
        <v>388</v>
      </c>
      <c r="C330" s="3">
        <v>4.8</v>
      </c>
      <c r="D330" s="3">
        <v>25554</v>
      </c>
      <c r="E330" s="4">
        <v>9</v>
      </c>
      <c r="F330" s="3">
        <v>2018</v>
      </c>
      <c r="G330" s="3" t="s">
        <v>11</v>
      </c>
    </row>
    <row r="331" spans="1:7" ht="14.25" customHeight="1" x14ac:dyDescent="0.3">
      <c r="A331" s="3" t="s">
        <v>389</v>
      </c>
      <c r="B331" s="3" t="s">
        <v>388</v>
      </c>
      <c r="C331" s="3">
        <v>4.8</v>
      </c>
      <c r="D331" s="3">
        <v>25554</v>
      </c>
      <c r="E331" s="4">
        <v>9</v>
      </c>
      <c r="F331" s="3">
        <v>2019</v>
      </c>
      <c r="G331" s="3" t="s">
        <v>11</v>
      </c>
    </row>
    <row r="332" spans="1:7" ht="14.25" customHeight="1" x14ac:dyDescent="0.3">
      <c r="A332" s="3" t="s">
        <v>390</v>
      </c>
      <c r="B332" s="3" t="s">
        <v>391</v>
      </c>
      <c r="C332" s="3">
        <v>4.8</v>
      </c>
      <c r="D332" s="3">
        <v>1680</v>
      </c>
      <c r="E332" s="4">
        <v>9</v>
      </c>
      <c r="F332" s="3">
        <v>2009</v>
      </c>
      <c r="G332" s="3" t="s">
        <v>11</v>
      </c>
    </row>
    <row r="333" spans="1:7" ht="14.25" customHeight="1" x14ac:dyDescent="0.3">
      <c r="A333" s="3" t="s">
        <v>392</v>
      </c>
      <c r="B333" s="3" t="s">
        <v>393</v>
      </c>
      <c r="C333" s="3">
        <v>4.5999999999999996</v>
      </c>
      <c r="D333" s="3">
        <v>9325</v>
      </c>
      <c r="E333" s="4">
        <v>9</v>
      </c>
      <c r="F333" s="3">
        <v>2009</v>
      </c>
      <c r="G333" s="3" t="s">
        <v>11</v>
      </c>
    </row>
    <row r="334" spans="1:7" ht="14.25" customHeight="1" x14ac:dyDescent="0.3">
      <c r="A334" s="3" t="s">
        <v>392</v>
      </c>
      <c r="B334" s="3" t="s">
        <v>393</v>
      </c>
      <c r="C334" s="3">
        <v>4.5999999999999996</v>
      </c>
      <c r="D334" s="3">
        <v>9325</v>
      </c>
      <c r="E334" s="4">
        <v>9</v>
      </c>
      <c r="F334" s="3">
        <v>2011</v>
      </c>
      <c r="G334" s="3" t="s">
        <v>11</v>
      </c>
    </row>
    <row r="335" spans="1:7" ht="14.25" customHeight="1" x14ac:dyDescent="0.3">
      <c r="A335" s="3" t="s">
        <v>392</v>
      </c>
      <c r="B335" s="3" t="s">
        <v>393</v>
      </c>
      <c r="C335" s="3">
        <v>4.5999999999999996</v>
      </c>
      <c r="D335" s="3">
        <v>9325</v>
      </c>
      <c r="E335" s="4">
        <v>9</v>
      </c>
      <c r="F335" s="3">
        <v>2012</v>
      </c>
      <c r="G335" s="3" t="s">
        <v>11</v>
      </c>
    </row>
    <row r="336" spans="1:7" ht="14.25" customHeight="1" x14ac:dyDescent="0.3">
      <c r="A336" s="3" t="s">
        <v>392</v>
      </c>
      <c r="B336" s="3" t="s">
        <v>393</v>
      </c>
      <c r="C336" s="3">
        <v>4.5999999999999996</v>
      </c>
      <c r="D336" s="3">
        <v>9325</v>
      </c>
      <c r="E336" s="4">
        <v>9</v>
      </c>
      <c r="F336" s="3">
        <v>2013</v>
      </c>
      <c r="G336" s="3" t="s">
        <v>11</v>
      </c>
    </row>
    <row r="337" spans="1:7" ht="14.25" customHeight="1" x14ac:dyDescent="0.3">
      <c r="A337" s="3" t="s">
        <v>392</v>
      </c>
      <c r="B337" s="3" t="s">
        <v>393</v>
      </c>
      <c r="C337" s="3">
        <v>4.7</v>
      </c>
      <c r="D337" s="3">
        <v>4725</v>
      </c>
      <c r="E337" s="4">
        <v>9</v>
      </c>
      <c r="F337" s="3">
        <v>2015</v>
      </c>
      <c r="G337" s="3" t="s">
        <v>11</v>
      </c>
    </row>
    <row r="338" spans="1:7" ht="14.25" customHeight="1" x14ac:dyDescent="0.3">
      <c r="A338" s="3" t="s">
        <v>392</v>
      </c>
      <c r="B338" s="3" t="s">
        <v>393</v>
      </c>
      <c r="C338" s="3">
        <v>4.7</v>
      </c>
      <c r="D338" s="3">
        <v>4725</v>
      </c>
      <c r="E338" s="4">
        <v>9</v>
      </c>
      <c r="F338" s="3">
        <v>2016</v>
      </c>
      <c r="G338" s="3" t="s">
        <v>11</v>
      </c>
    </row>
    <row r="339" spans="1:7" ht="14.25" customHeight="1" x14ac:dyDescent="0.3">
      <c r="A339" s="3" t="s">
        <v>392</v>
      </c>
      <c r="B339" s="3" t="s">
        <v>393</v>
      </c>
      <c r="C339" s="3">
        <v>4.7</v>
      </c>
      <c r="D339" s="3">
        <v>4725</v>
      </c>
      <c r="E339" s="4">
        <v>9</v>
      </c>
      <c r="F339" s="3">
        <v>2017</v>
      </c>
      <c r="G339" s="3" t="s">
        <v>11</v>
      </c>
    </row>
    <row r="340" spans="1:7" ht="14.25" customHeight="1" x14ac:dyDescent="0.3">
      <c r="A340" s="3" t="s">
        <v>394</v>
      </c>
      <c r="B340" s="3" t="s">
        <v>395</v>
      </c>
      <c r="C340" s="3">
        <v>4.7</v>
      </c>
      <c r="D340" s="3">
        <v>35799</v>
      </c>
      <c r="E340" s="4">
        <v>9</v>
      </c>
      <c r="F340" s="3">
        <v>2014</v>
      </c>
      <c r="G340" s="3" t="s">
        <v>14</v>
      </c>
    </row>
    <row r="341" spans="1:7" ht="14.25" customHeight="1" x14ac:dyDescent="0.3">
      <c r="A341" s="3" t="s">
        <v>396</v>
      </c>
      <c r="B341" s="3" t="s">
        <v>397</v>
      </c>
      <c r="C341" s="3">
        <v>4.5999999999999996</v>
      </c>
      <c r="D341" s="3">
        <v>2580</v>
      </c>
      <c r="E341" s="4">
        <v>9</v>
      </c>
      <c r="F341" s="3">
        <v>2012</v>
      </c>
      <c r="G341" s="3" t="s">
        <v>11</v>
      </c>
    </row>
    <row r="342" spans="1:7" ht="14.25" customHeight="1" x14ac:dyDescent="0.3">
      <c r="A342" s="3" t="s">
        <v>398</v>
      </c>
      <c r="B342" s="3" t="s">
        <v>399</v>
      </c>
      <c r="C342" s="3">
        <v>4.7</v>
      </c>
      <c r="D342" s="3">
        <v>11813</v>
      </c>
      <c r="E342" s="4">
        <v>9</v>
      </c>
      <c r="F342" s="3">
        <v>2010</v>
      </c>
      <c r="G342" s="3" t="s">
        <v>14</v>
      </c>
    </row>
    <row r="343" spans="1:7" ht="14.25" customHeight="1" x14ac:dyDescent="0.3">
      <c r="A343" s="3" t="s">
        <v>398</v>
      </c>
      <c r="B343" s="3" t="s">
        <v>399</v>
      </c>
      <c r="C343" s="3">
        <v>4.7</v>
      </c>
      <c r="D343" s="3">
        <v>11813</v>
      </c>
      <c r="E343" s="4">
        <v>9</v>
      </c>
      <c r="F343" s="3">
        <v>2011</v>
      </c>
      <c r="G343" s="3" t="s">
        <v>14</v>
      </c>
    </row>
    <row r="344" spans="1:7" ht="14.25" customHeight="1" x14ac:dyDescent="0.3">
      <c r="A344" s="3" t="s">
        <v>400</v>
      </c>
      <c r="B344" s="3" t="s">
        <v>401</v>
      </c>
      <c r="C344" s="3">
        <v>4.7</v>
      </c>
      <c r="D344" s="3">
        <v>3536</v>
      </c>
      <c r="E344" s="4">
        <v>9</v>
      </c>
      <c r="F344" s="3">
        <v>2010</v>
      </c>
      <c r="G344" s="3" t="s">
        <v>11</v>
      </c>
    </row>
    <row r="345" spans="1:7" ht="14.25" customHeight="1" x14ac:dyDescent="0.3">
      <c r="A345" s="3" t="s">
        <v>402</v>
      </c>
      <c r="B345" s="3" t="s">
        <v>336</v>
      </c>
      <c r="C345" s="3">
        <v>4.8</v>
      </c>
      <c r="D345" s="3">
        <v>6600</v>
      </c>
      <c r="E345" s="4">
        <v>9</v>
      </c>
      <c r="F345" s="3">
        <v>2014</v>
      </c>
      <c r="G345" s="3" t="s">
        <v>14</v>
      </c>
    </row>
    <row r="346" spans="1:7" ht="14.25" customHeight="1" x14ac:dyDescent="0.3">
      <c r="A346" s="3" t="s">
        <v>403</v>
      </c>
      <c r="B346" s="3" t="s">
        <v>404</v>
      </c>
      <c r="C346" s="3">
        <v>4.2</v>
      </c>
      <c r="D346" s="3">
        <v>1789</v>
      </c>
      <c r="E346" s="4">
        <v>9</v>
      </c>
      <c r="F346" s="3">
        <v>2012</v>
      </c>
      <c r="G346" s="3" t="s">
        <v>11</v>
      </c>
    </row>
    <row r="347" spans="1:7" ht="14.25" customHeight="1" x14ac:dyDescent="0.3">
      <c r="A347" s="3" t="s">
        <v>405</v>
      </c>
      <c r="B347" s="3" t="s">
        <v>406</v>
      </c>
      <c r="C347" s="3">
        <v>4.8</v>
      </c>
      <c r="D347" s="3">
        <v>12361</v>
      </c>
      <c r="E347" s="4">
        <v>9</v>
      </c>
      <c r="F347" s="3">
        <v>2019</v>
      </c>
      <c r="G347" s="3" t="s">
        <v>11</v>
      </c>
    </row>
    <row r="348" spans="1:7" ht="14.25" customHeight="1" x14ac:dyDescent="0.3">
      <c r="A348" s="3" t="s">
        <v>407</v>
      </c>
      <c r="B348" s="3" t="s">
        <v>408</v>
      </c>
      <c r="C348" s="3">
        <v>4.7</v>
      </c>
      <c r="D348" s="3">
        <v>858</v>
      </c>
      <c r="E348" s="4">
        <v>9</v>
      </c>
      <c r="F348" s="3">
        <v>2009</v>
      </c>
      <c r="G348" s="3" t="s">
        <v>11</v>
      </c>
    </row>
    <row r="349" spans="1:7" ht="14.25" customHeight="1" x14ac:dyDescent="0.3">
      <c r="A349" s="3" t="s">
        <v>409</v>
      </c>
      <c r="B349" s="3" t="s">
        <v>410</v>
      </c>
      <c r="C349" s="3">
        <v>4.5999999999999996</v>
      </c>
      <c r="D349" s="3">
        <v>23148</v>
      </c>
      <c r="E349" s="4">
        <v>9</v>
      </c>
      <c r="F349" s="3">
        <v>2013</v>
      </c>
      <c r="G349" s="3" t="s">
        <v>14</v>
      </c>
    </row>
    <row r="350" spans="1:7" ht="14.25" customHeight="1" x14ac:dyDescent="0.3">
      <c r="A350" s="3" t="s">
        <v>409</v>
      </c>
      <c r="B350" s="3" t="s">
        <v>410</v>
      </c>
      <c r="C350" s="3">
        <v>4.5999999999999996</v>
      </c>
      <c r="D350" s="3">
        <v>23148</v>
      </c>
      <c r="E350" s="4">
        <v>9</v>
      </c>
      <c r="F350" s="3">
        <v>2014</v>
      </c>
      <c r="G350" s="3" t="s">
        <v>14</v>
      </c>
    </row>
    <row r="351" spans="1:7" ht="14.25" customHeight="1" x14ac:dyDescent="0.3">
      <c r="A351" s="3" t="s">
        <v>411</v>
      </c>
      <c r="B351" s="3" t="s">
        <v>412</v>
      </c>
      <c r="C351" s="3">
        <v>4.8</v>
      </c>
      <c r="D351" s="3">
        <v>8081</v>
      </c>
      <c r="E351" s="4">
        <v>9</v>
      </c>
      <c r="F351" s="3">
        <v>2014</v>
      </c>
      <c r="G351" s="3" t="s">
        <v>14</v>
      </c>
    </row>
    <row r="352" spans="1:7" ht="14.25" customHeight="1" x14ac:dyDescent="0.3">
      <c r="A352" s="3" t="s">
        <v>411</v>
      </c>
      <c r="B352" s="3" t="s">
        <v>412</v>
      </c>
      <c r="C352" s="3">
        <v>4.8</v>
      </c>
      <c r="D352" s="3">
        <v>8081</v>
      </c>
      <c r="E352" s="4">
        <v>8</v>
      </c>
      <c r="F352" s="3">
        <v>2015</v>
      </c>
      <c r="G352" s="3" t="s">
        <v>14</v>
      </c>
    </row>
    <row r="353" spans="1:7" ht="14.25" customHeight="1" x14ac:dyDescent="0.3">
      <c r="A353" s="3" t="s">
        <v>413</v>
      </c>
      <c r="B353" s="3" t="s">
        <v>414</v>
      </c>
      <c r="C353" s="3">
        <v>4.8</v>
      </c>
      <c r="D353" s="3">
        <v>23358</v>
      </c>
      <c r="E353" s="4">
        <v>8</v>
      </c>
      <c r="F353" s="3">
        <v>2014</v>
      </c>
      <c r="G353" s="3" t="s">
        <v>11</v>
      </c>
    </row>
    <row r="354" spans="1:7" ht="14.25" customHeight="1" x14ac:dyDescent="0.3">
      <c r="A354" s="3" t="s">
        <v>413</v>
      </c>
      <c r="B354" s="3" t="s">
        <v>414</v>
      </c>
      <c r="C354" s="3">
        <v>4.8</v>
      </c>
      <c r="D354" s="3">
        <v>23358</v>
      </c>
      <c r="E354" s="4">
        <v>8</v>
      </c>
      <c r="F354" s="3">
        <v>2015</v>
      </c>
      <c r="G354" s="3" t="s">
        <v>11</v>
      </c>
    </row>
    <row r="355" spans="1:7" ht="14.25" customHeight="1" x14ac:dyDescent="0.3">
      <c r="A355" s="3" t="s">
        <v>415</v>
      </c>
      <c r="B355" s="3" t="s">
        <v>156</v>
      </c>
      <c r="C355" s="3">
        <v>3.3</v>
      </c>
      <c r="D355" s="3">
        <v>9372</v>
      </c>
      <c r="E355" s="4">
        <v>8</v>
      </c>
      <c r="F355" s="3">
        <v>2012</v>
      </c>
      <c r="G355" s="3" t="s">
        <v>14</v>
      </c>
    </row>
    <row r="356" spans="1:7" ht="14.25" customHeight="1" x14ac:dyDescent="0.3">
      <c r="A356" s="3" t="s">
        <v>416</v>
      </c>
      <c r="B356" s="3" t="s">
        <v>417</v>
      </c>
      <c r="C356" s="3">
        <v>4.7</v>
      </c>
      <c r="D356" s="3">
        <v>4633</v>
      </c>
      <c r="E356" s="4">
        <v>8</v>
      </c>
      <c r="F356" s="3">
        <v>2011</v>
      </c>
      <c r="G356" s="3" t="s">
        <v>11</v>
      </c>
    </row>
    <row r="357" spans="1:7" ht="14.25" customHeight="1" x14ac:dyDescent="0.3">
      <c r="A357" s="3" t="s">
        <v>418</v>
      </c>
      <c r="B357" s="3" t="s">
        <v>419</v>
      </c>
      <c r="C357" s="3">
        <v>4.3</v>
      </c>
      <c r="D357" s="3">
        <v>13061</v>
      </c>
      <c r="E357" s="4">
        <v>8</v>
      </c>
      <c r="F357" s="3">
        <v>2018</v>
      </c>
      <c r="G357" s="3" t="s">
        <v>11</v>
      </c>
    </row>
    <row r="358" spans="1:7" ht="14.25" customHeight="1" x14ac:dyDescent="0.3">
      <c r="A358" s="3" t="s">
        <v>418</v>
      </c>
      <c r="B358" s="3" t="s">
        <v>419</v>
      </c>
      <c r="C358" s="3">
        <v>4.3</v>
      </c>
      <c r="D358" s="3">
        <v>13061</v>
      </c>
      <c r="E358" s="4">
        <v>8</v>
      </c>
      <c r="F358" s="3">
        <v>2019</v>
      </c>
      <c r="G358" s="3" t="s">
        <v>11</v>
      </c>
    </row>
    <row r="359" spans="1:7" ht="14.25" customHeight="1" x14ac:dyDescent="0.3">
      <c r="A359" s="3" t="s">
        <v>420</v>
      </c>
      <c r="B359" s="3" t="s">
        <v>380</v>
      </c>
      <c r="C359" s="3">
        <v>4.3</v>
      </c>
      <c r="D359" s="3">
        <v>3523</v>
      </c>
      <c r="E359" s="4">
        <v>8</v>
      </c>
      <c r="F359" s="3">
        <v>2010</v>
      </c>
      <c r="G359" s="3" t="s">
        <v>14</v>
      </c>
    </row>
    <row r="360" spans="1:7" ht="14.25" customHeight="1" x14ac:dyDescent="0.3">
      <c r="A360" s="3" t="s">
        <v>421</v>
      </c>
      <c r="B360" s="3" t="s">
        <v>422</v>
      </c>
      <c r="C360" s="3">
        <v>4.8</v>
      </c>
      <c r="D360" s="3">
        <v>2774</v>
      </c>
      <c r="E360" s="4">
        <v>8</v>
      </c>
      <c r="F360" s="3">
        <v>2016</v>
      </c>
      <c r="G360" s="3" t="s">
        <v>11</v>
      </c>
    </row>
    <row r="361" spans="1:7" ht="14.25" customHeight="1" x14ac:dyDescent="0.3">
      <c r="A361" s="3" t="s">
        <v>423</v>
      </c>
      <c r="B361" s="3" t="s">
        <v>424</v>
      </c>
      <c r="C361" s="3">
        <v>4.4000000000000004</v>
      </c>
      <c r="D361" s="3">
        <v>440</v>
      </c>
      <c r="E361" s="4">
        <v>8</v>
      </c>
      <c r="F361" s="3">
        <v>2010</v>
      </c>
      <c r="G361" s="3" t="s">
        <v>11</v>
      </c>
    </row>
    <row r="362" spans="1:7" ht="14.25" customHeight="1" x14ac:dyDescent="0.3">
      <c r="A362" s="3" t="s">
        <v>425</v>
      </c>
      <c r="B362" s="3" t="s">
        <v>426</v>
      </c>
      <c r="C362" s="3">
        <v>4.8</v>
      </c>
      <c r="D362" s="3">
        <v>8922</v>
      </c>
      <c r="E362" s="4">
        <v>8</v>
      </c>
      <c r="F362" s="3">
        <v>2013</v>
      </c>
      <c r="G362" s="3" t="s">
        <v>14</v>
      </c>
    </row>
    <row r="363" spans="1:7" ht="14.25" customHeight="1" x14ac:dyDescent="0.3">
      <c r="A363" s="3" t="s">
        <v>425</v>
      </c>
      <c r="B363" s="3" t="s">
        <v>426</v>
      </c>
      <c r="C363" s="3">
        <v>4.8</v>
      </c>
      <c r="D363" s="3">
        <v>8922</v>
      </c>
      <c r="E363" s="4">
        <v>8</v>
      </c>
      <c r="F363" s="3">
        <v>2014</v>
      </c>
      <c r="G363" s="3" t="s">
        <v>14</v>
      </c>
    </row>
    <row r="364" spans="1:7" ht="14.25" customHeight="1" x14ac:dyDescent="0.3">
      <c r="A364" s="3" t="s">
        <v>425</v>
      </c>
      <c r="B364" s="3" t="s">
        <v>426</v>
      </c>
      <c r="C364" s="3">
        <v>4.8</v>
      </c>
      <c r="D364" s="3">
        <v>8922</v>
      </c>
      <c r="E364" s="4">
        <v>8</v>
      </c>
      <c r="F364" s="3">
        <v>2015</v>
      </c>
      <c r="G364" s="3" t="s">
        <v>14</v>
      </c>
    </row>
    <row r="365" spans="1:7" ht="14.25" customHeight="1" x14ac:dyDescent="0.3">
      <c r="A365" s="3" t="s">
        <v>427</v>
      </c>
      <c r="B365" s="3" t="s">
        <v>428</v>
      </c>
      <c r="C365" s="3">
        <v>4.0999999999999996</v>
      </c>
      <c r="D365" s="3">
        <v>2023</v>
      </c>
      <c r="E365" s="4">
        <v>8</v>
      </c>
      <c r="F365" s="3">
        <v>2011</v>
      </c>
      <c r="G365" s="3" t="s">
        <v>11</v>
      </c>
    </row>
    <row r="366" spans="1:7" ht="14.25" customHeight="1" x14ac:dyDescent="0.3">
      <c r="A366" s="3" t="s">
        <v>429</v>
      </c>
      <c r="B366" s="3" t="s">
        <v>430</v>
      </c>
      <c r="C366" s="3">
        <v>4</v>
      </c>
      <c r="D366" s="3">
        <v>1859</v>
      </c>
      <c r="E366" s="4">
        <v>8</v>
      </c>
      <c r="F366" s="3">
        <v>2009</v>
      </c>
      <c r="G366" s="3" t="s">
        <v>14</v>
      </c>
    </row>
    <row r="367" spans="1:7" ht="14.25" customHeight="1" x14ac:dyDescent="0.3">
      <c r="A367" s="3" t="s">
        <v>431</v>
      </c>
      <c r="B367" s="3" t="s">
        <v>292</v>
      </c>
      <c r="C367" s="3">
        <v>4.7</v>
      </c>
      <c r="D367" s="3">
        <v>50482</v>
      </c>
      <c r="E367" s="4">
        <v>8</v>
      </c>
      <c r="F367" s="3">
        <v>2012</v>
      </c>
      <c r="G367" s="3" t="s">
        <v>14</v>
      </c>
    </row>
    <row r="368" spans="1:7" ht="14.25" customHeight="1" x14ac:dyDescent="0.3">
      <c r="A368" s="3" t="s">
        <v>431</v>
      </c>
      <c r="B368" s="3" t="s">
        <v>292</v>
      </c>
      <c r="C368" s="3">
        <v>4.7</v>
      </c>
      <c r="D368" s="3">
        <v>50482</v>
      </c>
      <c r="E368" s="4">
        <v>8</v>
      </c>
      <c r="F368" s="3">
        <v>2013</v>
      </c>
      <c r="G368" s="3" t="s">
        <v>14</v>
      </c>
    </row>
    <row r="369" spans="1:7" ht="14.25" customHeight="1" x14ac:dyDescent="0.3">
      <c r="A369" s="3" t="s">
        <v>431</v>
      </c>
      <c r="B369" s="3" t="s">
        <v>292</v>
      </c>
      <c r="C369" s="3">
        <v>4.7</v>
      </c>
      <c r="D369" s="3">
        <v>50482</v>
      </c>
      <c r="E369" s="4">
        <v>8</v>
      </c>
      <c r="F369" s="3">
        <v>2014</v>
      </c>
      <c r="G369" s="3" t="s">
        <v>14</v>
      </c>
    </row>
    <row r="370" spans="1:7" ht="14.25" customHeight="1" x14ac:dyDescent="0.3">
      <c r="A370" s="3" t="s">
        <v>431</v>
      </c>
      <c r="B370" s="3" t="s">
        <v>292</v>
      </c>
      <c r="C370" s="3">
        <v>4.7</v>
      </c>
      <c r="D370" s="3">
        <v>50482</v>
      </c>
      <c r="E370" s="4">
        <v>8</v>
      </c>
      <c r="F370" s="3">
        <v>2014</v>
      </c>
      <c r="G370" s="3" t="s">
        <v>14</v>
      </c>
    </row>
    <row r="371" spans="1:7" ht="14.25" customHeight="1" x14ac:dyDescent="0.3">
      <c r="A371" s="3" t="s">
        <v>432</v>
      </c>
      <c r="B371" s="3" t="s">
        <v>433</v>
      </c>
      <c r="C371" s="3">
        <v>4.5999999999999996</v>
      </c>
      <c r="D371" s="3">
        <v>3207</v>
      </c>
      <c r="E371" s="4">
        <v>8</v>
      </c>
      <c r="F371" s="3">
        <v>2009</v>
      </c>
      <c r="G371" s="3" t="s">
        <v>11</v>
      </c>
    </row>
    <row r="372" spans="1:7" ht="14.25" customHeight="1" x14ac:dyDescent="0.3">
      <c r="A372" s="3" t="s">
        <v>432</v>
      </c>
      <c r="B372" s="3" t="s">
        <v>433</v>
      </c>
      <c r="C372" s="3">
        <v>4.5999999999999996</v>
      </c>
      <c r="D372" s="3">
        <v>3207</v>
      </c>
      <c r="E372" s="4">
        <v>8</v>
      </c>
      <c r="F372" s="3">
        <v>2010</v>
      </c>
      <c r="G372" s="3" t="s">
        <v>11</v>
      </c>
    </row>
    <row r="373" spans="1:7" ht="14.25" customHeight="1" x14ac:dyDescent="0.3">
      <c r="A373" s="3" t="s">
        <v>432</v>
      </c>
      <c r="B373" s="3" t="s">
        <v>433</v>
      </c>
      <c r="C373" s="3">
        <v>4.5999999999999996</v>
      </c>
      <c r="D373" s="3">
        <v>3207</v>
      </c>
      <c r="E373" s="4">
        <v>8</v>
      </c>
      <c r="F373" s="3">
        <v>2011</v>
      </c>
      <c r="G373" s="3" t="s">
        <v>11</v>
      </c>
    </row>
    <row r="374" spans="1:7" ht="14.25" customHeight="1" x14ac:dyDescent="0.3">
      <c r="A374" s="3" t="s">
        <v>432</v>
      </c>
      <c r="B374" s="3" t="s">
        <v>433</v>
      </c>
      <c r="C374" s="3">
        <v>4.5999999999999996</v>
      </c>
      <c r="D374" s="3">
        <v>3207</v>
      </c>
      <c r="E374" s="4">
        <v>8</v>
      </c>
      <c r="F374" s="3">
        <v>2012</v>
      </c>
      <c r="G374" s="3" t="s">
        <v>11</v>
      </c>
    </row>
    <row r="375" spans="1:7" ht="14.25" customHeight="1" x14ac:dyDescent="0.3">
      <c r="A375" s="3" t="s">
        <v>432</v>
      </c>
      <c r="B375" s="3" t="s">
        <v>433</v>
      </c>
      <c r="C375" s="3">
        <v>4.5999999999999996</v>
      </c>
      <c r="D375" s="3">
        <v>3207</v>
      </c>
      <c r="E375" s="4">
        <v>8</v>
      </c>
      <c r="F375" s="3">
        <v>2013</v>
      </c>
      <c r="G375" s="3" t="s">
        <v>11</v>
      </c>
    </row>
    <row r="376" spans="1:7" ht="14.25" customHeight="1" x14ac:dyDescent="0.3">
      <c r="A376" s="3" t="s">
        <v>434</v>
      </c>
      <c r="B376" s="3" t="s">
        <v>388</v>
      </c>
      <c r="C376" s="3">
        <v>4.5999999999999996</v>
      </c>
      <c r="D376" s="3">
        <v>803</v>
      </c>
      <c r="E376" s="4">
        <v>8</v>
      </c>
      <c r="F376" s="3">
        <v>2009</v>
      </c>
      <c r="G376" s="3" t="s">
        <v>11</v>
      </c>
    </row>
    <row r="377" spans="1:7" ht="14.25" customHeight="1" x14ac:dyDescent="0.3">
      <c r="A377" s="3" t="s">
        <v>435</v>
      </c>
      <c r="B377" s="3" t="s">
        <v>436</v>
      </c>
      <c r="C377" s="3">
        <v>4.7</v>
      </c>
      <c r="D377" s="3">
        <v>23308</v>
      </c>
      <c r="E377" s="4">
        <v>8</v>
      </c>
      <c r="F377" s="3">
        <v>2013</v>
      </c>
      <c r="G377" s="3" t="s">
        <v>11</v>
      </c>
    </row>
    <row r="378" spans="1:7" ht="14.25" customHeight="1" x14ac:dyDescent="0.3">
      <c r="A378" s="3" t="s">
        <v>435</v>
      </c>
      <c r="B378" s="3" t="s">
        <v>436</v>
      </c>
      <c r="C378" s="3">
        <v>4.7</v>
      </c>
      <c r="D378" s="3">
        <v>23308</v>
      </c>
      <c r="E378" s="4">
        <v>8</v>
      </c>
      <c r="F378" s="3">
        <v>2015</v>
      </c>
      <c r="G378" s="3" t="s">
        <v>11</v>
      </c>
    </row>
    <row r="379" spans="1:7" ht="14.25" customHeight="1" x14ac:dyDescent="0.3">
      <c r="A379" s="3" t="s">
        <v>435</v>
      </c>
      <c r="B379" s="3" t="s">
        <v>436</v>
      </c>
      <c r="C379" s="3">
        <v>4.7</v>
      </c>
      <c r="D379" s="3">
        <v>23308</v>
      </c>
      <c r="E379" s="4">
        <v>8</v>
      </c>
      <c r="F379" s="3">
        <v>2016</v>
      </c>
      <c r="G379" s="3" t="s">
        <v>11</v>
      </c>
    </row>
    <row r="380" spans="1:7" ht="14.25" customHeight="1" x14ac:dyDescent="0.3">
      <c r="A380" s="3" t="s">
        <v>435</v>
      </c>
      <c r="B380" s="3" t="s">
        <v>436</v>
      </c>
      <c r="C380" s="3">
        <v>4.7</v>
      </c>
      <c r="D380" s="3">
        <v>23308</v>
      </c>
      <c r="E380" s="4">
        <v>8</v>
      </c>
      <c r="F380" s="3">
        <v>2017</v>
      </c>
      <c r="G380" s="3" t="s">
        <v>11</v>
      </c>
    </row>
    <row r="381" spans="1:7" ht="14.25" customHeight="1" x14ac:dyDescent="0.3">
      <c r="A381" s="3" t="s">
        <v>435</v>
      </c>
      <c r="B381" s="3" t="s">
        <v>436</v>
      </c>
      <c r="C381" s="3">
        <v>4.7</v>
      </c>
      <c r="D381" s="3">
        <v>23308</v>
      </c>
      <c r="E381" s="4">
        <v>8</v>
      </c>
      <c r="F381" s="3">
        <v>2018</v>
      </c>
      <c r="G381" s="3" t="s">
        <v>11</v>
      </c>
    </row>
    <row r="382" spans="1:7" ht="14.25" customHeight="1" x14ac:dyDescent="0.3">
      <c r="A382" s="3" t="s">
        <v>435</v>
      </c>
      <c r="B382" s="3" t="s">
        <v>436</v>
      </c>
      <c r="C382" s="3">
        <v>4.7</v>
      </c>
      <c r="D382" s="3">
        <v>23308</v>
      </c>
      <c r="E382" s="4">
        <v>8</v>
      </c>
      <c r="F382" s="3">
        <v>2019</v>
      </c>
      <c r="G382" s="3" t="s">
        <v>11</v>
      </c>
    </row>
    <row r="383" spans="1:7" ht="14.25" customHeight="1" x14ac:dyDescent="0.3">
      <c r="A383" s="3" t="s">
        <v>437</v>
      </c>
      <c r="B383" s="3" t="s">
        <v>83</v>
      </c>
      <c r="C383" s="3">
        <v>4.8</v>
      </c>
      <c r="D383" s="3">
        <v>5836</v>
      </c>
      <c r="E383" s="4">
        <v>8</v>
      </c>
      <c r="F383" s="3">
        <v>2017</v>
      </c>
      <c r="G383" s="3" t="s">
        <v>14</v>
      </c>
    </row>
    <row r="384" spans="1:7" ht="14.25" customHeight="1" x14ac:dyDescent="0.3">
      <c r="A384" s="3" t="s">
        <v>438</v>
      </c>
      <c r="B384" s="3" t="s">
        <v>439</v>
      </c>
      <c r="C384" s="3">
        <v>4.0999999999999996</v>
      </c>
      <c r="D384" s="3">
        <v>79446</v>
      </c>
      <c r="E384" s="4">
        <v>8</v>
      </c>
      <c r="F384" s="3">
        <v>2015</v>
      </c>
      <c r="G384" s="3" t="s">
        <v>14</v>
      </c>
    </row>
    <row r="385" spans="1:7" ht="14.25" customHeight="1" x14ac:dyDescent="0.3">
      <c r="A385" s="3" t="s">
        <v>438</v>
      </c>
      <c r="B385" s="3" t="s">
        <v>439</v>
      </c>
      <c r="C385" s="3">
        <v>4.0999999999999996</v>
      </c>
      <c r="D385" s="3">
        <v>79446</v>
      </c>
      <c r="E385" s="4">
        <v>8</v>
      </c>
      <c r="F385" s="3">
        <v>2016</v>
      </c>
      <c r="G385" s="3" t="s">
        <v>14</v>
      </c>
    </row>
    <row r="386" spans="1:7" ht="14.25" customHeight="1" x14ac:dyDescent="0.3">
      <c r="A386" s="3" t="s">
        <v>440</v>
      </c>
      <c r="B386" s="3" t="s">
        <v>441</v>
      </c>
      <c r="C386" s="3">
        <v>4.7</v>
      </c>
      <c r="D386" s="3">
        <v>7747</v>
      </c>
      <c r="E386" s="4">
        <v>8</v>
      </c>
      <c r="F386" s="3">
        <v>2010</v>
      </c>
      <c r="G386" s="3" t="s">
        <v>14</v>
      </c>
    </row>
    <row r="387" spans="1:7" ht="14.25" customHeight="1" x14ac:dyDescent="0.3">
      <c r="A387" s="3" t="s">
        <v>440</v>
      </c>
      <c r="B387" s="3" t="s">
        <v>441</v>
      </c>
      <c r="C387" s="3">
        <v>4.7</v>
      </c>
      <c r="D387" s="3">
        <v>7747</v>
      </c>
      <c r="E387" s="4">
        <v>8</v>
      </c>
      <c r="F387" s="3">
        <v>2011</v>
      </c>
      <c r="G387" s="3" t="s">
        <v>14</v>
      </c>
    </row>
    <row r="388" spans="1:7" ht="14.25" customHeight="1" x14ac:dyDescent="0.3">
      <c r="A388" s="3" t="s">
        <v>442</v>
      </c>
      <c r="B388" s="3" t="s">
        <v>441</v>
      </c>
      <c r="C388" s="3">
        <v>4.7</v>
      </c>
      <c r="D388" s="3">
        <v>7251</v>
      </c>
      <c r="E388" s="4">
        <v>8</v>
      </c>
      <c r="F388" s="3">
        <v>2010</v>
      </c>
      <c r="G388" s="3" t="s">
        <v>14</v>
      </c>
    </row>
    <row r="389" spans="1:7" ht="14.25" customHeight="1" x14ac:dyDescent="0.3">
      <c r="A389" s="3" t="s">
        <v>443</v>
      </c>
      <c r="B389" s="3" t="s">
        <v>441</v>
      </c>
      <c r="C389" s="3">
        <v>4.7</v>
      </c>
      <c r="D389" s="3">
        <v>7251</v>
      </c>
      <c r="E389" s="4">
        <v>8</v>
      </c>
      <c r="F389" s="3">
        <v>2009</v>
      </c>
      <c r="G389" s="3" t="s">
        <v>14</v>
      </c>
    </row>
    <row r="390" spans="1:7" ht="14.25" customHeight="1" x14ac:dyDescent="0.3">
      <c r="A390" s="3" t="s">
        <v>444</v>
      </c>
      <c r="B390" s="3" t="s">
        <v>441</v>
      </c>
      <c r="C390" s="3">
        <v>4.4000000000000004</v>
      </c>
      <c r="D390" s="3">
        <v>10559</v>
      </c>
      <c r="E390" s="4">
        <v>8</v>
      </c>
      <c r="F390" s="3">
        <v>2009</v>
      </c>
      <c r="G390" s="3" t="s">
        <v>14</v>
      </c>
    </row>
    <row r="391" spans="1:7" ht="14.25" customHeight="1" x14ac:dyDescent="0.3">
      <c r="A391" s="3" t="s">
        <v>444</v>
      </c>
      <c r="B391" s="3" t="s">
        <v>441</v>
      </c>
      <c r="C391" s="3">
        <v>4.4000000000000004</v>
      </c>
      <c r="D391" s="3">
        <v>10559</v>
      </c>
      <c r="E391" s="4">
        <v>8</v>
      </c>
      <c r="F391" s="3">
        <v>2010</v>
      </c>
      <c r="G391" s="3" t="s">
        <v>14</v>
      </c>
    </row>
    <row r="392" spans="1:7" ht="14.25" customHeight="1" x14ac:dyDescent="0.3">
      <c r="A392" s="3" t="s">
        <v>445</v>
      </c>
      <c r="B392" s="3" t="s">
        <v>446</v>
      </c>
      <c r="C392" s="3">
        <v>4.8</v>
      </c>
      <c r="D392" s="3">
        <v>5249</v>
      </c>
      <c r="E392" s="4">
        <v>8</v>
      </c>
      <c r="F392" s="3">
        <v>2016</v>
      </c>
      <c r="G392" s="3" t="s">
        <v>14</v>
      </c>
    </row>
    <row r="393" spans="1:7" ht="14.25" customHeight="1" x14ac:dyDescent="0.3">
      <c r="A393" s="3" t="s">
        <v>445</v>
      </c>
      <c r="B393" s="3" t="s">
        <v>446</v>
      </c>
      <c r="C393" s="3">
        <v>4.8</v>
      </c>
      <c r="D393" s="3">
        <v>5249</v>
      </c>
      <c r="E393" s="4">
        <v>8</v>
      </c>
      <c r="F393" s="3">
        <v>2017</v>
      </c>
      <c r="G393" s="3" t="s">
        <v>14</v>
      </c>
    </row>
    <row r="394" spans="1:7" ht="14.25" customHeight="1" x14ac:dyDescent="0.3">
      <c r="A394" s="3" t="s">
        <v>447</v>
      </c>
      <c r="B394" s="3" t="s">
        <v>448</v>
      </c>
      <c r="C394" s="3">
        <v>3.9</v>
      </c>
      <c r="D394" s="3">
        <v>33844</v>
      </c>
      <c r="E394" s="4">
        <v>8</v>
      </c>
      <c r="F394" s="3">
        <v>2013</v>
      </c>
      <c r="G394" s="3" t="s">
        <v>14</v>
      </c>
    </row>
    <row r="395" spans="1:7" ht="14.25" customHeight="1" x14ac:dyDescent="0.3">
      <c r="A395" s="3" t="s">
        <v>447</v>
      </c>
      <c r="B395" s="3" t="s">
        <v>448</v>
      </c>
      <c r="C395" s="3">
        <v>3.9</v>
      </c>
      <c r="D395" s="3">
        <v>33844</v>
      </c>
      <c r="E395" s="4">
        <v>8</v>
      </c>
      <c r="F395" s="3">
        <v>2014</v>
      </c>
      <c r="G395" s="3" t="s">
        <v>14</v>
      </c>
    </row>
    <row r="396" spans="1:7" ht="14.25" customHeight="1" x14ac:dyDescent="0.3">
      <c r="A396" s="3" t="s">
        <v>449</v>
      </c>
      <c r="B396" s="3" t="s">
        <v>450</v>
      </c>
      <c r="C396" s="3">
        <v>4.4000000000000004</v>
      </c>
      <c r="D396" s="3">
        <v>11616</v>
      </c>
      <c r="E396" s="4">
        <v>8</v>
      </c>
      <c r="F396" s="3">
        <v>2012</v>
      </c>
      <c r="G396" s="3" t="s">
        <v>14</v>
      </c>
    </row>
    <row r="397" spans="1:7" ht="14.25" customHeight="1" x14ac:dyDescent="0.3">
      <c r="A397" s="3" t="s">
        <v>449</v>
      </c>
      <c r="B397" s="3" t="s">
        <v>450</v>
      </c>
      <c r="C397" s="3">
        <v>4.4000000000000004</v>
      </c>
      <c r="D397" s="3">
        <v>11616</v>
      </c>
      <c r="E397" s="4">
        <v>8</v>
      </c>
      <c r="F397" s="3">
        <v>2013</v>
      </c>
      <c r="G397" s="3" t="s">
        <v>14</v>
      </c>
    </row>
    <row r="398" spans="1:7" ht="14.25" customHeight="1" x14ac:dyDescent="0.3">
      <c r="A398" s="3" t="s">
        <v>449</v>
      </c>
      <c r="B398" s="3" t="s">
        <v>450</v>
      </c>
      <c r="C398" s="3">
        <v>4.4000000000000004</v>
      </c>
      <c r="D398" s="3">
        <v>11616</v>
      </c>
      <c r="E398" s="4">
        <v>8</v>
      </c>
      <c r="F398" s="3">
        <v>2014</v>
      </c>
      <c r="G398" s="3" t="s">
        <v>14</v>
      </c>
    </row>
    <row r="399" spans="1:7" ht="14.25" customHeight="1" x14ac:dyDescent="0.3">
      <c r="A399" s="3" t="s">
        <v>451</v>
      </c>
      <c r="B399" s="3" t="s">
        <v>380</v>
      </c>
      <c r="C399" s="3">
        <v>4.5</v>
      </c>
      <c r="D399" s="3">
        <v>13609</v>
      </c>
      <c r="E399" s="4">
        <v>8</v>
      </c>
      <c r="F399" s="3">
        <v>2019</v>
      </c>
      <c r="G399" s="3" t="s">
        <v>14</v>
      </c>
    </row>
    <row r="400" spans="1:7" ht="14.25" customHeight="1" x14ac:dyDescent="0.3">
      <c r="A400" s="3" t="s">
        <v>452</v>
      </c>
      <c r="B400" s="3" t="s">
        <v>453</v>
      </c>
      <c r="C400" s="3">
        <v>4.7</v>
      </c>
      <c r="D400" s="3">
        <v>8587</v>
      </c>
      <c r="E400" s="4">
        <v>8</v>
      </c>
      <c r="F400" s="3">
        <v>2009</v>
      </c>
      <c r="G400" s="3" t="s">
        <v>14</v>
      </c>
    </row>
    <row r="401" spans="1:7" ht="14.25" customHeight="1" x14ac:dyDescent="0.3">
      <c r="A401" s="3" t="s">
        <v>454</v>
      </c>
      <c r="B401" s="3" t="s">
        <v>455</v>
      </c>
      <c r="C401" s="3">
        <v>4.3</v>
      </c>
      <c r="D401" s="3">
        <v>29442</v>
      </c>
      <c r="E401" s="4">
        <v>8</v>
      </c>
      <c r="F401" s="3">
        <v>2017</v>
      </c>
      <c r="G401" s="3" t="s">
        <v>14</v>
      </c>
    </row>
    <row r="402" spans="1:7" ht="14.25" customHeight="1" x14ac:dyDescent="0.3">
      <c r="A402" s="3" t="s">
        <v>456</v>
      </c>
      <c r="B402" s="3" t="s">
        <v>457</v>
      </c>
      <c r="C402" s="3">
        <v>4.5999999999999996</v>
      </c>
      <c r="D402" s="3">
        <v>11098</v>
      </c>
      <c r="E402" s="4">
        <v>8</v>
      </c>
      <c r="F402" s="3">
        <v>2012</v>
      </c>
      <c r="G402" s="3" t="s">
        <v>14</v>
      </c>
    </row>
    <row r="403" spans="1:7" ht="14.25" customHeight="1" x14ac:dyDescent="0.3">
      <c r="A403" s="3" t="s">
        <v>458</v>
      </c>
      <c r="B403" s="3" t="s">
        <v>459</v>
      </c>
      <c r="C403" s="3">
        <v>4.8</v>
      </c>
      <c r="D403" s="3">
        <v>9947</v>
      </c>
      <c r="E403" s="4">
        <v>8</v>
      </c>
      <c r="F403" s="3">
        <v>2018</v>
      </c>
      <c r="G403" s="3" t="s">
        <v>14</v>
      </c>
    </row>
    <row r="404" spans="1:7" ht="14.25" customHeight="1" x14ac:dyDescent="0.3">
      <c r="A404" s="3" t="s">
        <v>460</v>
      </c>
      <c r="B404" s="3" t="s">
        <v>461</v>
      </c>
      <c r="C404" s="3">
        <v>4.8</v>
      </c>
      <c r="D404" s="3">
        <v>13871</v>
      </c>
      <c r="E404" s="4">
        <v>7</v>
      </c>
      <c r="F404" s="3">
        <v>2009</v>
      </c>
      <c r="G404" s="3" t="s">
        <v>14</v>
      </c>
    </row>
    <row r="405" spans="1:7" ht="14.25" customHeight="1" x14ac:dyDescent="0.3">
      <c r="A405" s="3" t="s">
        <v>460</v>
      </c>
      <c r="B405" s="3" t="s">
        <v>461</v>
      </c>
      <c r="C405" s="3">
        <v>4.8</v>
      </c>
      <c r="D405" s="3">
        <v>13871</v>
      </c>
      <c r="E405" s="4">
        <v>7</v>
      </c>
      <c r="F405" s="3">
        <v>2010</v>
      </c>
      <c r="G405" s="3" t="s">
        <v>14</v>
      </c>
    </row>
    <row r="406" spans="1:7" ht="14.25" customHeight="1" x14ac:dyDescent="0.3">
      <c r="A406" s="3" t="s">
        <v>460</v>
      </c>
      <c r="B406" s="3" t="s">
        <v>461</v>
      </c>
      <c r="C406" s="3">
        <v>4.8</v>
      </c>
      <c r="D406" s="3">
        <v>13871</v>
      </c>
      <c r="E406" s="4">
        <v>7</v>
      </c>
      <c r="F406" s="3">
        <v>2011</v>
      </c>
      <c r="G406" s="3" t="s">
        <v>14</v>
      </c>
    </row>
    <row r="407" spans="1:7" ht="14.25" customHeight="1" x14ac:dyDescent="0.3">
      <c r="A407" s="3" t="s">
        <v>460</v>
      </c>
      <c r="B407" s="3" t="s">
        <v>461</v>
      </c>
      <c r="C407" s="3">
        <v>4.8</v>
      </c>
      <c r="D407" s="3">
        <v>13871</v>
      </c>
      <c r="E407" s="4">
        <v>7</v>
      </c>
      <c r="F407" s="3">
        <v>2011</v>
      </c>
      <c r="G407" s="3" t="s">
        <v>14</v>
      </c>
    </row>
    <row r="408" spans="1:7" ht="14.25" customHeight="1" x14ac:dyDescent="0.3">
      <c r="A408" s="3" t="s">
        <v>462</v>
      </c>
      <c r="B408" s="3" t="s">
        <v>336</v>
      </c>
      <c r="C408" s="3">
        <v>4.8</v>
      </c>
      <c r="D408" s="3">
        <v>6982</v>
      </c>
      <c r="E408" s="4">
        <v>7</v>
      </c>
      <c r="F408" s="3">
        <v>2013</v>
      </c>
      <c r="G408" s="3" t="s">
        <v>14</v>
      </c>
    </row>
    <row r="409" spans="1:7" ht="14.25" customHeight="1" x14ac:dyDescent="0.3">
      <c r="A409" s="3" t="s">
        <v>463</v>
      </c>
      <c r="B409" s="3" t="s">
        <v>91</v>
      </c>
      <c r="C409" s="3">
        <v>4.7</v>
      </c>
      <c r="D409" s="3">
        <v>32122</v>
      </c>
      <c r="E409" s="4">
        <v>7</v>
      </c>
      <c r="F409" s="3">
        <v>2010</v>
      </c>
      <c r="G409" s="3" t="s">
        <v>14</v>
      </c>
    </row>
    <row r="410" spans="1:7" ht="14.25" customHeight="1" x14ac:dyDescent="0.3">
      <c r="A410" s="3" t="s">
        <v>464</v>
      </c>
      <c r="B410" s="3" t="s">
        <v>91</v>
      </c>
      <c r="C410" s="3">
        <v>4.7</v>
      </c>
      <c r="D410" s="3">
        <v>32122</v>
      </c>
      <c r="E410" s="4">
        <v>7</v>
      </c>
      <c r="F410" s="3">
        <v>2011</v>
      </c>
      <c r="G410" s="3" t="s">
        <v>14</v>
      </c>
    </row>
    <row r="411" spans="1:7" ht="14.25" customHeight="1" x14ac:dyDescent="0.3">
      <c r="A411" s="3" t="s">
        <v>464</v>
      </c>
      <c r="B411" s="3" t="s">
        <v>91</v>
      </c>
      <c r="C411" s="3">
        <v>4.7</v>
      </c>
      <c r="D411" s="3">
        <v>32122</v>
      </c>
      <c r="E411" s="4">
        <v>7</v>
      </c>
      <c r="F411" s="3">
        <v>2012</v>
      </c>
      <c r="G411" s="3" t="s">
        <v>14</v>
      </c>
    </row>
    <row r="412" spans="1:7" ht="14.25" customHeight="1" x14ac:dyDescent="0.3">
      <c r="A412" s="3" t="s">
        <v>465</v>
      </c>
      <c r="B412" s="3" t="s">
        <v>91</v>
      </c>
      <c r="C412" s="3">
        <v>4.8</v>
      </c>
      <c r="D412" s="3">
        <v>16949</v>
      </c>
      <c r="E412" s="4">
        <v>7</v>
      </c>
      <c r="F412" s="3">
        <v>2011</v>
      </c>
      <c r="G412" s="3" t="s">
        <v>14</v>
      </c>
    </row>
    <row r="413" spans="1:7" ht="14.25" customHeight="1" x14ac:dyDescent="0.3">
      <c r="A413" s="3" t="s">
        <v>465</v>
      </c>
      <c r="B413" s="3" t="s">
        <v>91</v>
      </c>
      <c r="C413" s="3">
        <v>4.8</v>
      </c>
      <c r="D413" s="3">
        <v>16949</v>
      </c>
      <c r="E413" s="4">
        <v>7</v>
      </c>
      <c r="F413" s="3">
        <v>2012</v>
      </c>
      <c r="G413" s="3" t="s">
        <v>14</v>
      </c>
    </row>
    <row r="414" spans="1:7" ht="14.25" customHeight="1" x14ac:dyDescent="0.3">
      <c r="A414" s="3" t="s">
        <v>466</v>
      </c>
      <c r="B414" s="3" t="s">
        <v>467</v>
      </c>
      <c r="C414" s="3">
        <v>4.7</v>
      </c>
      <c r="D414" s="3">
        <v>9289</v>
      </c>
      <c r="E414" s="4">
        <v>7</v>
      </c>
      <c r="F414" s="3">
        <v>2010</v>
      </c>
      <c r="G414" s="3" t="s">
        <v>11</v>
      </c>
    </row>
    <row r="415" spans="1:7" ht="14.25" customHeight="1" x14ac:dyDescent="0.3">
      <c r="A415" s="3" t="s">
        <v>466</v>
      </c>
      <c r="B415" s="3" t="s">
        <v>467</v>
      </c>
      <c r="C415" s="3">
        <v>4.7</v>
      </c>
      <c r="D415" s="3">
        <v>9289</v>
      </c>
      <c r="E415" s="4">
        <v>7</v>
      </c>
      <c r="F415" s="3">
        <v>2011</v>
      </c>
      <c r="G415" s="3" t="s">
        <v>11</v>
      </c>
    </row>
    <row r="416" spans="1:7" ht="14.25" customHeight="1" x14ac:dyDescent="0.3">
      <c r="A416" s="3" t="s">
        <v>466</v>
      </c>
      <c r="B416" s="3" t="s">
        <v>467</v>
      </c>
      <c r="C416" s="3">
        <v>4.7</v>
      </c>
      <c r="D416" s="3">
        <v>9289</v>
      </c>
      <c r="E416" s="4">
        <v>7</v>
      </c>
      <c r="F416" s="3">
        <v>2012</v>
      </c>
      <c r="G416" s="3" t="s">
        <v>11</v>
      </c>
    </row>
    <row r="417" spans="1:7" ht="14.25" customHeight="1" x14ac:dyDescent="0.3">
      <c r="A417" s="3" t="s">
        <v>468</v>
      </c>
      <c r="B417" s="3" t="s">
        <v>469</v>
      </c>
      <c r="C417" s="3">
        <v>4.3</v>
      </c>
      <c r="D417" s="3">
        <v>7368</v>
      </c>
      <c r="E417" s="4">
        <v>7</v>
      </c>
      <c r="F417" s="3">
        <v>2017</v>
      </c>
      <c r="G417" s="3" t="s">
        <v>11</v>
      </c>
    </row>
    <row r="418" spans="1:7" ht="14.25" customHeight="1" x14ac:dyDescent="0.3">
      <c r="A418" s="3" t="s">
        <v>468</v>
      </c>
      <c r="B418" s="3" t="s">
        <v>469</v>
      </c>
      <c r="C418" s="3">
        <v>4.3</v>
      </c>
      <c r="D418" s="3">
        <v>7368</v>
      </c>
      <c r="E418" s="4">
        <v>7</v>
      </c>
      <c r="F418" s="3">
        <v>2018</v>
      </c>
      <c r="G418" s="3" t="s">
        <v>11</v>
      </c>
    </row>
    <row r="419" spans="1:7" ht="14.25" customHeight="1" x14ac:dyDescent="0.3">
      <c r="A419" s="3" t="s">
        <v>470</v>
      </c>
      <c r="B419" s="3" t="s">
        <v>471</v>
      </c>
      <c r="C419" s="3">
        <v>4.7</v>
      </c>
      <c r="D419" s="3">
        <v>4028</v>
      </c>
      <c r="E419" s="4">
        <v>7</v>
      </c>
      <c r="F419" s="3">
        <v>2009</v>
      </c>
      <c r="G419" s="3" t="s">
        <v>11</v>
      </c>
    </row>
    <row r="420" spans="1:7" ht="14.25" customHeight="1" x14ac:dyDescent="0.3">
      <c r="A420" s="3" t="s">
        <v>472</v>
      </c>
      <c r="B420" s="3" t="s">
        <v>336</v>
      </c>
      <c r="C420" s="3">
        <v>4.8</v>
      </c>
      <c r="D420" s="3">
        <v>4628</v>
      </c>
      <c r="E420" s="4">
        <v>7</v>
      </c>
      <c r="F420" s="3">
        <v>2009</v>
      </c>
      <c r="G420" s="3" t="s">
        <v>14</v>
      </c>
    </row>
    <row r="421" spans="1:7" ht="14.25" customHeight="1" x14ac:dyDescent="0.3">
      <c r="A421" s="3" t="s">
        <v>472</v>
      </c>
      <c r="B421" s="3" t="s">
        <v>336</v>
      </c>
      <c r="C421" s="3">
        <v>4.8</v>
      </c>
      <c r="D421" s="3">
        <v>4628</v>
      </c>
      <c r="E421" s="4">
        <v>7</v>
      </c>
      <c r="F421" s="3">
        <v>2010</v>
      </c>
      <c r="G421" s="3" t="s">
        <v>14</v>
      </c>
    </row>
    <row r="422" spans="1:7" ht="14.25" customHeight="1" x14ac:dyDescent="0.3">
      <c r="A422" s="3" t="s">
        <v>473</v>
      </c>
      <c r="B422" s="3" t="s">
        <v>474</v>
      </c>
      <c r="C422" s="3">
        <v>4.9000000000000004</v>
      </c>
      <c r="D422" s="3">
        <v>5396</v>
      </c>
      <c r="E422" s="4">
        <v>7</v>
      </c>
      <c r="F422" s="3">
        <v>2013</v>
      </c>
      <c r="G422" s="3" t="s">
        <v>14</v>
      </c>
    </row>
    <row r="423" spans="1:7" ht="14.25" customHeight="1" x14ac:dyDescent="0.3">
      <c r="A423" s="3" t="s">
        <v>475</v>
      </c>
      <c r="B423" s="3" t="s">
        <v>476</v>
      </c>
      <c r="C423" s="3">
        <v>4.4000000000000004</v>
      </c>
      <c r="D423" s="3">
        <v>4247</v>
      </c>
      <c r="E423" s="4">
        <v>7</v>
      </c>
      <c r="F423" s="3">
        <v>2011</v>
      </c>
      <c r="G423" s="3" t="s">
        <v>11</v>
      </c>
    </row>
    <row r="424" spans="1:7" ht="14.25" customHeight="1" x14ac:dyDescent="0.3">
      <c r="A424" s="3" t="s">
        <v>475</v>
      </c>
      <c r="B424" s="3" t="s">
        <v>476</v>
      </c>
      <c r="C424" s="3">
        <v>4.4000000000000004</v>
      </c>
      <c r="D424" s="3">
        <v>4247</v>
      </c>
      <c r="E424" s="4">
        <v>7</v>
      </c>
      <c r="F424" s="3">
        <v>2012</v>
      </c>
      <c r="G424" s="3" t="s">
        <v>11</v>
      </c>
    </row>
    <row r="425" spans="1:7" ht="14.25" customHeight="1" x14ac:dyDescent="0.3">
      <c r="A425" s="3" t="s">
        <v>477</v>
      </c>
      <c r="B425" s="3" t="s">
        <v>478</v>
      </c>
      <c r="C425" s="3">
        <v>4.5</v>
      </c>
      <c r="D425" s="3">
        <v>22641</v>
      </c>
      <c r="E425" s="4">
        <v>7</v>
      </c>
      <c r="F425" s="3">
        <v>2015</v>
      </c>
      <c r="G425" s="3" t="s">
        <v>11</v>
      </c>
    </row>
    <row r="426" spans="1:7" ht="14.25" customHeight="1" x14ac:dyDescent="0.3">
      <c r="A426" s="3" t="s">
        <v>477</v>
      </c>
      <c r="B426" s="3" t="s">
        <v>478</v>
      </c>
      <c r="C426" s="3">
        <v>4.5</v>
      </c>
      <c r="D426" s="3">
        <v>22641</v>
      </c>
      <c r="E426" s="4">
        <v>7</v>
      </c>
      <c r="F426" s="3">
        <v>2016</v>
      </c>
      <c r="G426" s="3" t="s">
        <v>11</v>
      </c>
    </row>
    <row r="427" spans="1:7" ht="14.25" customHeight="1" x14ac:dyDescent="0.3">
      <c r="A427" s="3" t="s">
        <v>477</v>
      </c>
      <c r="B427" s="3" t="s">
        <v>478</v>
      </c>
      <c r="C427" s="3">
        <v>4.5</v>
      </c>
      <c r="D427" s="3">
        <v>22641</v>
      </c>
      <c r="E427" s="4">
        <v>6</v>
      </c>
      <c r="F427" s="3">
        <v>2017</v>
      </c>
      <c r="G427" s="3" t="s">
        <v>11</v>
      </c>
    </row>
    <row r="428" spans="1:7" ht="14.25" customHeight="1" x14ac:dyDescent="0.3">
      <c r="A428" s="3" t="s">
        <v>477</v>
      </c>
      <c r="B428" s="3" t="s">
        <v>478</v>
      </c>
      <c r="C428" s="3">
        <v>4.5</v>
      </c>
      <c r="D428" s="3">
        <v>22641</v>
      </c>
      <c r="E428" s="4">
        <v>6</v>
      </c>
      <c r="F428" s="3">
        <v>2019</v>
      </c>
      <c r="G428" s="3" t="s">
        <v>11</v>
      </c>
    </row>
    <row r="429" spans="1:7" ht="14.25" customHeight="1" x14ac:dyDescent="0.3">
      <c r="A429" s="3" t="s">
        <v>479</v>
      </c>
      <c r="B429" s="3" t="s">
        <v>380</v>
      </c>
      <c r="C429" s="3">
        <v>4.4000000000000004</v>
      </c>
      <c r="D429" s="3">
        <v>6222</v>
      </c>
      <c r="E429" s="4">
        <v>6</v>
      </c>
      <c r="F429" s="3">
        <v>2011</v>
      </c>
      <c r="G429" s="3" t="s">
        <v>14</v>
      </c>
    </row>
    <row r="430" spans="1:7" ht="14.25" customHeight="1" x14ac:dyDescent="0.3">
      <c r="A430" s="3" t="s">
        <v>480</v>
      </c>
      <c r="B430" s="3" t="s">
        <v>336</v>
      </c>
      <c r="C430" s="3">
        <v>4.8</v>
      </c>
      <c r="D430" s="3">
        <v>4506</v>
      </c>
      <c r="E430" s="4">
        <v>6</v>
      </c>
      <c r="F430" s="3">
        <v>2010</v>
      </c>
      <c r="G430" s="3" t="s">
        <v>14</v>
      </c>
    </row>
    <row r="431" spans="1:7" ht="14.25" customHeight="1" x14ac:dyDescent="0.3">
      <c r="A431" s="3" t="s">
        <v>481</v>
      </c>
      <c r="B431" s="3" t="s">
        <v>248</v>
      </c>
      <c r="C431" s="3">
        <v>4.2</v>
      </c>
      <c r="D431" s="3">
        <v>8747</v>
      </c>
      <c r="E431" s="4">
        <v>6</v>
      </c>
      <c r="F431" s="3">
        <v>2009</v>
      </c>
      <c r="G431" s="3" t="s">
        <v>14</v>
      </c>
    </row>
    <row r="432" spans="1:7" ht="14.25" customHeight="1" x14ac:dyDescent="0.3">
      <c r="A432" s="3" t="s">
        <v>482</v>
      </c>
      <c r="B432" s="3" t="s">
        <v>483</v>
      </c>
      <c r="C432" s="3">
        <v>4.8</v>
      </c>
      <c r="D432" s="3">
        <v>1655</v>
      </c>
      <c r="E432" s="4">
        <v>6</v>
      </c>
      <c r="F432" s="3">
        <v>2009</v>
      </c>
      <c r="G432" s="3" t="s">
        <v>11</v>
      </c>
    </row>
    <row r="433" spans="1:7" ht="14.25" customHeight="1" x14ac:dyDescent="0.3">
      <c r="A433" s="3" t="s">
        <v>484</v>
      </c>
      <c r="B433" s="3" t="s">
        <v>485</v>
      </c>
      <c r="C433" s="3">
        <v>4.9000000000000004</v>
      </c>
      <c r="D433" s="3">
        <v>7861</v>
      </c>
      <c r="E433" s="4">
        <v>6</v>
      </c>
      <c r="F433" s="3">
        <v>2016</v>
      </c>
      <c r="G433" s="3" t="s">
        <v>11</v>
      </c>
    </row>
    <row r="434" spans="1:7" ht="14.25" customHeight="1" x14ac:dyDescent="0.3">
      <c r="A434" s="3" t="s">
        <v>486</v>
      </c>
      <c r="B434" s="3" t="s">
        <v>336</v>
      </c>
      <c r="C434" s="3">
        <v>4.8</v>
      </c>
      <c r="D434" s="3">
        <v>6247</v>
      </c>
      <c r="E434" s="4">
        <v>6</v>
      </c>
      <c r="F434" s="3">
        <v>2012</v>
      </c>
      <c r="G434" s="3" t="s">
        <v>14</v>
      </c>
    </row>
    <row r="435" spans="1:7" ht="14.25" customHeight="1" x14ac:dyDescent="0.3">
      <c r="A435" s="3" t="s">
        <v>487</v>
      </c>
      <c r="B435" s="3" t="s">
        <v>488</v>
      </c>
      <c r="C435" s="3">
        <v>4.7</v>
      </c>
      <c r="D435" s="3">
        <v>39459</v>
      </c>
      <c r="E435" s="4">
        <v>6</v>
      </c>
      <c r="F435" s="3">
        <v>2015</v>
      </c>
      <c r="G435" s="3" t="s">
        <v>14</v>
      </c>
    </row>
    <row r="436" spans="1:7" ht="14.25" customHeight="1" x14ac:dyDescent="0.3">
      <c r="A436" s="3" t="s">
        <v>489</v>
      </c>
      <c r="B436" s="3" t="s">
        <v>490</v>
      </c>
      <c r="C436" s="3">
        <v>4.5</v>
      </c>
      <c r="D436" s="3">
        <v>10101</v>
      </c>
      <c r="E436" s="4">
        <v>6</v>
      </c>
      <c r="F436" s="3">
        <v>2014</v>
      </c>
      <c r="G436" s="3" t="s">
        <v>14</v>
      </c>
    </row>
    <row r="437" spans="1:7" ht="14.25" customHeight="1" x14ac:dyDescent="0.3">
      <c r="A437" s="3" t="s">
        <v>491</v>
      </c>
      <c r="B437" s="3" t="s">
        <v>83</v>
      </c>
      <c r="C437" s="3">
        <v>4.8</v>
      </c>
      <c r="D437" s="3">
        <v>5898</v>
      </c>
      <c r="E437" s="4">
        <v>6</v>
      </c>
      <c r="F437" s="3">
        <v>2018</v>
      </c>
      <c r="G437" s="3" t="s">
        <v>14</v>
      </c>
    </row>
    <row r="438" spans="1:7" ht="14.25" customHeight="1" x14ac:dyDescent="0.3">
      <c r="A438" s="3" t="s">
        <v>492</v>
      </c>
      <c r="B438" s="3" t="s">
        <v>493</v>
      </c>
      <c r="C438" s="3">
        <v>4.5999999999999996</v>
      </c>
      <c r="D438" s="3">
        <v>2744</v>
      </c>
      <c r="E438" s="4">
        <v>6</v>
      </c>
      <c r="F438" s="3">
        <v>2019</v>
      </c>
      <c r="G438" s="3" t="s">
        <v>11</v>
      </c>
    </row>
    <row r="439" spans="1:7" ht="14.25" customHeight="1" x14ac:dyDescent="0.3">
      <c r="A439" s="3" t="s">
        <v>494</v>
      </c>
      <c r="B439" s="3" t="s">
        <v>495</v>
      </c>
      <c r="C439" s="3">
        <v>4.8</v>
      </c>
      <c r="D439" s="3">
        <v>49288</v>
      </c>
      <c r="E439" s="4">
        <v>6</v>
      </c>
      <c r="F439" s="3">
        <v>2015</v>
      </c>
      <c r="G439" s="3" t="s">
        <v>14</v>
      </c>
    </row>
    <row r="440" spans="1:7" ht="14.25" customHeight="1" x14ac:dyDescent="0.3">
      <c r="A440" s="3" t="s">
        <v>494</v>
      </c>
      <c r="B440" s="3" t="s">
        <v>495</v>
      </c>
      <c r="C440" s="3">
        <v>4.8</v>
      </c>
      <c r="D440" s="3">
        <v>49288</v>
      </c>
      <c r="E440" s="4">
        <v>6</v>
      </c>
      <c r="F440" s="3">
        <v>2016</v>
      </c>
      <c r="G440" s="3" t="s">
        <v>14</v>
      </c>
    </row>
    <row r="441" spans="1:7" ht="14.25" customHeight="1" x14ac:dyDescent="0.3">
      <c r="A441" s="3" t="s">
        <v>496</v>
      </c>
      <c r="B441" s="3" t="s">
        <v>497</v>
      </c>
      <c r="C441" s="3">
        <v>4.4000000000000004</v>
      </c>
      <c r="D441" s="3">
        <v>1201</v>
      </c>
      <c r="E441" s="4">
        <v>6</v>
      </c>
      <c r="F441" s="3">
        <v>2010</v>
      </c>
      <c r="G441" s="3" t="s">
        <v>11</v>
      </c>
    </row>
    <row r="442" spans="1:7" ht="14.25" customHeight="1" x14ac:dyDescent="0.3">
      <c r="A442" s="3" t="s">
        <v>496</v>
      </c>
      <c r="B442" s="3" t="s">
        <v>497</v>
      </c>
      <c r="C442" s="3">
        <v>4.4000000000000004</v>
      </c>
      <c r="D442" s="3">
        <v>1201</v>
      </c>
      <c r="E442" s="4">
        <v>6</v>
      </c>
      <c r="F442" s="3">
        <v>2011</v>
      </c>
      <c r="G442" s="3" t="s">
        <v>11</v>
      </c>
    </row>
    <row r="443" spans="1:7" ht="14.25" customHeight="1" x14ac:dyDescent="0.3">
      <c r="A443" s="3" t="s">
        <v>496</v>
      </c>
      <c r="B443" s="3" t="s">
        <v>497</v>
      </c>
      <c r="C443" s="3">
        <v>4.4000000000000004</v>
      </c>
      <c r="D443" s="3">
        <v>1201</v>
      </c>
      <c r="E443" s="4">
        <v>6</v>
      </c>
      <c r="F443" s="3">
        <v>2012</v>
      </c>
      <c r="G443" s="3" t="s">
        <v>11</v>
      </c>
    </row>
    <row r="444" spans="1:7" ht="14.25" customHeight="1" x14ac:dyDescent="0.3">
      <c r="A444" s="3" t="s">
        <v>496</v>
      </c>
      <c r="B444" s="3" t="s">
        <v>497</v>
      </c>
      <c r="C444" s="3">
        <v>4.4000000000000004</v>
      </c>
      <c r="D444" s="3">
        <v>1201</v>
      </c>
      <c r="E444" s="4">
        <v>6</v>
      </c>
      <c r="F444" s="3">
        <v>2013</v>
      </c>
      <c r="G444" s="3" t="s">
        <v>11</v>
      </c>
    </row>
    <row r="445" spans="1:7" ht="14.25" customHeight="1" x14ac:dyDescent="0.3">
      <c r="A445" s="3" t="s">
        <v>496</v>
      </c>
      <c r="B445" s="3" t="s">
        <v>497</v>
      </c>
      <c r="C445" s="3">
        <v>4.4000000000000004</v>
      </c>
      <c r="D445" s="3">
        <v>1201</v>
      </c>
      <c r="E445" s="4">
        <v>6</v>
      </c>
      <c r="F445" s="3">
        <v>2014</v>
      </c>
      <c r="G445" s="3" t="s">
        <v>11</v>
      </c>
    </row>
    <row r="446" spans="1:7" ht="14.25" customHeight="1" x14ac:dyDescent="0.3">
      <c r="A446" s="3" t="s">
        <v>498</v>
      </c>
      <c r="B446" s="3" t="s">
        <v>497</v>
      </c>
      <c r="C446" s="3">
        <v>4.3</v>
      </c>
      <c r="D446" s="3">
        <v>807</v>
      </c>
      <c r="E446" s="4">
        <v>6</v>
      </c>
      <c r="F446" s="3">
        <v>2016</v>
      </c>
      <c r="G446" s="3" t="s">
        <v>11</v>
      </c>
    </row>
    <row r="447" spans="1:7" ht="14.25" customHeight="1" x14ac:dyDescent="0.3">
      <c r="A447" s="3" t="s">
        <v>499</v>
      </c>
      <c r="B447" s="3" t="s">
        <v>500</v>
      </c>
      <c r="C447" s="3">
        <v>4.3</v>
      </c>
      <c r="D447" s="3">
        <v>3759</v>
      </c>
      <c r="E447" s="4">
        <v>6</v>
      </c>
      <c r="F447" s="3">
        <v>2011</v>
      </c>
      <c r="G447" s="3" t="s">
        <v>14</v>
      </c>
    </row>
    <row r="448" spans="1:7" ht="14.25" customHeight="1" x14ac:dyDescent="0.3">
      <c r="A448" s="3" t="s">
        <v>501</v>
      </c>
      <c r="B448" s="3" t="s">
        <v>502</v>
      </c>
      <c r="C448" s="3">
        <v>4.8</v>
      </c>
      <c r="D448" s="3">
        <v>2663</v>
      </c>
      <c r="E448" s="4">
        <v>6</v>
      </c>
      <c r="F448" s="3">
        <v>2013</v>
      </c>
      <c r="G448" s="3" t="s">
        <v>11</v>
      </c>
    </row>
    <row r="449" spans="1:7" ht="14.25" customHeight="1" x14ac:dyDescent="0.3">
      <c r="A449" s="3" t="s">
        <v>503</v>
      </c>
      <c r="B449" s="3" t="s">
        <v>502</v>
      </c>
      <c r="C449" s="3">
        <v>4.8</v>
      </c>
      <c r="D449" s="3">
        <v>3428</v>
      </c>
      <c r="E449" s="4">
        <v>6</v>
      </c>
      <c r="F449" s="3">
        <v>2015</v>
      </c>
      <c r="G449" s="3" t="s">
        <v>11</v>
      </c>
    </row>
    <row r="450" spans="1:7" ht="14.25" customHeight="1" x14ac:dyDescent="0.3">
      <c r="A450" s="3" t="s">
        <v>504</v>
      </c>
      <c r="B450" s="3" t="s">
        <v>502</v>
      </c>
      <c r="C450" s="3">
        <v>4.8</v>
      </c>
      <c r="D450" s="3">
        <v>2876</v>
      </c>
      <c r="E450" s="4">
        <v>6</v>
      </c>
      <c r="F450" s="3">
        <v>2012</v>
      </c>
      <c r="G450" s="3" t="s">
        <v>11</v>
      </c>
    </row>
    <row r="451" spans="1:7" ht="14.25" customHeight="1" x14ac:dyDescent="0.3">
      <c r="A451" s="3" t="s">
        <v>505</v>
      </c>
      <c r="B451" s="3" t="s">
        <v>506</v>
      </c>
      <c r="C451" s="3">
        <v>4.5</v>
      </c>
      <c r="D451" s="3">
        <v>3601</v>
      </c>
      <c r="E451" s="4">
        <v>6</v>
      </c>
      <c r="F451" s="3">
        <v>2018</v>
      </c>
      <c r="G451" s="3" t="s">
        <v>11</v>
      </c>
    </row>
    <row r="452" spans="1:7" ht="14.25" customHeight="1" x14ac:dyDescent="0.3">
      <c r="A452" s="3" t="s">
        <v>507</v>
      </c>
      <c r="B452" s="3" t="s">
        <v>506</v>
      </c>
      <c r="C452" s="3">
        <v>4.4000000000000004</v>
      </c>
      <c r="D452" s="3">
        <v>7058</v>
      </c>
      <c r="E452" s="4">
        <v>6</v>
      </c>
      <c r="F452" s="3">
        <v>2018</v>
      </c>
      <c r="G452" s="3" t="s">
        <v>11</v>
      </c>
    </row>
    <row r="453" spans="1:7" ht="14.25" customHeight="1" x14ac:dyDescent="0.3">
      <c r="A453" s="3" t="s">
        <v>508</v>
      </c>
      <c r="B453" s="3" t="s">
        <v>509</v>
      </c>
      <c r="C453" s="3">
        <v>4.8</v>
      </c>
      <c r="D453" s="3">
        <v>9784</v>
      </c>
      <c r="E453" s="4">
        <v>6</v>
      </c>
      <c r="F453" s="3">
        <v>2017</v>
      </c>
      <c r="G453" s="3" t="s">
        <v>14</v>
      </c>
    </row>
    <row r="454" spans="1:7" ht="14.25" customHeight="1" x14ac:dyDescent="0.3">
      <c r="A454" s="3" t="s">
        <v>508</v>
      </c>
      <c r="B454" s="3" t="s">
        <v>509</v>
      </c>
      <c r="C454" s="3">
        <v>4.8</v>
      </c>
      <c r="D454" s="3">
        <v>9784</v>
      </c>
      <c r="E454" s="4">
        <v>6</v>
      </c>
      <c r="F454" s="3">
        <v>2018</v>
      </c>
      <c r="G454" s="3" t="s">
        <v>14</v>
      </c>
    </row>
    <row r="455" spans="1:7" ht="14.25" customHeight="1" x14ac:dyDescent="0.3">
      <c r="A455" s="3" t="s">
        <v>510</v>
      </c>
      <c r="B455" s="3" t="s">
        <v>511</v>
      </c>
      <c r="C455" s="3">
        <v>4.5999999999999996</v>
      </c>
      <c r="D455" s="3">
        <v>10795</v>
      </c>
      <c r="E455" s="4">
        <v>6</v>
      </c>
      <c r="F455" s="3">
        <v>2012</v>
      </c>
      <c r="G455" s="3" t="s">
        <v>11</v>
      </c>
    </row>
    <row r="456" spans="1:7" ht="14.25" customHeight="1" x14ac:dyDescent="0.3">
      <c r="A456" s="3" t="s">
        <v>512</v>
      </c>
      <c r="B456" s="3" t="s">
        <v>240</v>
      </c>
      <c r="C456" s="3">
        <v>4.3</v>
      </c>
      <c r="D456" s="3">
        <v>10191</v>
      </c>
      <c r="E456" s="4">
        <v>6</v>
      </c>
      <c r="F456" s="3">
        <v>2018</v>
      </c>
      <c r="G456" s="3" t="s">
        <v>14</v>
      </c>
    </row>
    <row r="457" spans="1:7" ht="14.25" customHeight="1" x14ac:dyDescent="0.3">
      <c r="A457" s="3" t="s">
        <v>513</v>
      </c>
      <c r="B457" s="3" t="s">
        <v>380</v>
      </c>
      <c r="C457" s="3">
        <v>4.3</v>
      </c>
      <c r="D457" s="3">
        <v>14493</v>
      </c>
      <c r="E457" s="4">
        <v>6</v>
      </c>
      <c r="F457" s="3">
        <v>2012</v>
      </c>
      <c r="G457" s="3" t="s">
        <v>14</v>
      </c>
    </row>
    <row r="458" spans="1:7" ht="14.25" customHeight="1" x14ac:dyDescent="0.3">
      <c r="A458" s="3" t="s">
        <v>514</v>
      </c>
      <c r="B458" s="3" t="s">
        <v>336</v>
      </c>
      <c r="C458" s="3">
        <v>4.5999999999999996</v>
      </c>
      <c r="D458" s="3">
        <v>2186</v>
      </c>
      <c r="E458" s="4">
        <v>6</v>
      </c>
      <c r="F458" s="3">
        <v>2010</v>
      </c>
      <c r="G458" s="3" t="s">
        <v>14</v>
      </c>
    </row>
    <row r="459" spans="1:7" ht="14.25" customHeight="1" x14ac:dyDescent="0.3">
      <c r="A459" s="3" t="s">
        <v>515</v>
      </c>
      <c r="B459" s="3" t="s">
        <v>516</v>
      </c>
      <c r="C459" s="3">
        <v>4.5999999999999996</v>
      </c>
      <c r="D459" s="3">
        <v>1204</v>
      </c>
      <c r="E459" s="4">
        <v>6</v>
      </c>
      <c r="F459" s="3">
        <v>2010</v>
      </c>
      <c r="G459" s="3" t="s">
        <v>11</v>
      </c>
    </row>
    <row r="460" spans="1:7" ht="14.25" customHeight="1" x14ac:dyDescent="0.3">
      <c r="A460" s="3" t="s">
        <v>517</v>
      </c>
      <c r="B460" s="3" t="s">
        <v>336</v>
      </c>
      <c r="C460" s="3">
        <v>4.8</v>
      </c>
      <c r="D460" s="3">
        <v>2091</v>
      </c>
      <c r="E460" s="4">
        <v>6</v>
      </c>
      <c r="F460" s="3">
        <v>2012</v>
      </c>
      <c r="G460" s="3" t="s">
        <v>14</v>
      </c>
    </row>
    <row r="461" spans="1:7" ht="14.25" customHeight="1" x14ac:dyDescent="0.3">
      <c r="A461" s="3" t="s">
        <v>518</v>
      </c>
      <c r="B461" s="3" t="s">
        <v>519</v>
      </c>
      <c r="C461" s="3">
        <v>4.5999999999999996</v>
      </c>
      <c r="D461" s="3">
        <v>19720</v>
      </c>
      <c r="E461" s="4">
        <v>6</v>
      </c>
      <c r="F461" s="3">
        <v>2009</v>
      </c>
      <c r="G461" s="3" t="s">
        <v>14</v>
      </c>
    </row>
    <row r="462" spans="1:7" ht="14.25" customHeight="1" x14ac:dyDescent="0.3">
      <c r="A462" s="3" t="s">
        <v>518</v>
      </c>
      <c r="B462" s="3" t="s">
        <v>519</v>
      </c>
      <c r="C462" s="3">
        <v>4.5999999999999996</v>
      </c>
      <c r="D462" s="3">
        <v>19720</v>
      </c>
      <c r="E462" s="4">
        <v>6</v>
      </c>
      <c r="F462" s="3">
        <v>2017</v>
      </c>
      <c r="G462" s="3" t="s">
        <v>14</v>
      </c>
    </row>
    <row r="463" spans="1:7" ht="14.25" customHeight="1" x14ac:dyDescent="0.3">
      <c r="A463" s="3" t="s">
        <v>520</v>
      </c>
      <c r="B463" s="3" t="s">
        <v>78</v>
      </c>
      <c r="C463" s="3">
        <v>4.5999999999999996</v>
      </c>
      <c r="D463" s="3">
        <v>2122</v>
      </c>
      <c r="E463" s="4">
        <v>6</v>
      </c>
      <c r="F463" s="3">
        <v>2010</v>
      </c>
      <c r="G463" s="3" t="s">
        <v>14</v>
      </c>
    </row>
    <row r="464" spans="1:7" ht="14.25" customHeight="1" x14ac:dyDescent="0.3">
      <c r="A464" s="3" t="s">
        <v>521</v>
      </c>
      <c r="B464" s="3" t="s">
        <v>522</v>
      </c>
      <c r="C464" s="3">
        <v>4.5</v>
      </c>
      <c r="D464" s="3">
        <v>27536</v>
      </c>
      <c r="E464" s="4">
        <v>6</v>
      </c>
      <c r="F464" s="3">
        <v>2019</v>
      </c>
      <c r="G464" s="3" t="s">
        <v>14</v>
      </c>
    </row>
    <row r="465" spans="1:7" ht="14.25" customHeight="1" x14ac:dyDescent="0.3">
      <c r="A465" s="3" t="s">
        <v>523</v>
      </c>
      <c r="B465" s="3" t="s">
        <v>336</v>
      </c>
      <c r="C465" s="3">
        <v>4.8</v>
      </c>
      <c r="D465" s="3">
        <v>4290</v>
      </c>
      <c r="E465" s="4">
        <v>5</v>
      </c>
      <c r="F465" s="3">
        <v>2011</v>
      </c>
      <c r="G465" s="3" t="s">
        <v>14</v>
      </c>
    </row>
    <row r="466" spans="1:7" ht="14.25" customHeight="1" x14ac:dyDescent="0.3">
      <c r="A466" s="3" t="s">
        <v>524</v>
      </c>
      <c r="B466" s="3" t="s">
        <v>525</v>
      </c>
      <c r="C466" s="3">
        <v>4.5999999999999996</v>
      </c>
      <c r="D466" s="3">
        <v>26490</v>
      </c>
      <c r="E466" s="4">
        <v>5</v>
      </c>
      <c r="F466" s="3">
        <v>2017</v>
      </c>
      <c r="G466" s="3" t="s">
        <v>11</v>
      </c>
    </row>
    <row r="467" spans="1:7" ht="14.25" customHeight="1" x14ac:dyDescent="0.3">
      <c r="A467" s="3" t="s">
        <v>524</v>
      </c>
      <c r="B467" s="3" t="s">
        <v>525</v>
      </c>
      <c r="C467" s="3">
        <v>4.5999999999999996</v>
      </c>
      <c r="D467" s="3">
        <v>26490</v>
      </c>
      <c r="E467" s="4">
        <v>5</v>
      </c>
      <c r="F467" s="3">
        <v>2018</v>
      </c>
      <c r="G467" s="3" t="s">
        <v>11</v>
      </c>
    </row>
    <row r="468" spans="1:7" ht="14.25" customHeight="1" x14ac:dyDescent="0.3">
      <c r="A468" s="3" t="s">
        <v>524</v>
      </c>
      <c r="B468" s="3" t="s">
        <v>525</v>
      </c>
      <c r="C468" s="3">
        <v>4.5999999999999996</v>
      </c>
      <c r="D468" s="3">
        <v>26490</v>
      </c>
      <c r="E468" s="4">
        <v>5</v>
      </c>
      <c r="F468" s="3">
        <v>2019</v>
      </c>
      <c r="G468" s="3" t="s">
        <v>11</v>
      </c>
    </row>
    <row r="469" spans="1:7" ht="14.25" customHeight="1" x14ac:dyDescent="0.3">
      <c r="A469" s="3" t="s">
        <v>526</v>
      </c>
      <c r="B469" s="3" t="s">
        <v>304</v>
      </c>
      <c r="C469" s="3">
        <v>4.7</v>
      </c>
      <c r="D469" s="3">
        <v>5487</v>
      </c>
      <c r="E469" s="4">
        <v>5</v>
      </c>
      <c r="F469" s="3">
        <v>2017</v>
      </c>
      <c r="G469" s="3" t="s">
        <v>11</v>
      </c>
    </row>
    <row r="470" spans="1:7" ht="14.25" customHeight="1" x14ac:dyDescent="0.3">
      <c r="A470" s="3" t="s">
        <v>527</v>
      </c>
      <c r="B470" s="3" t="s">
        <v>83</v>
      </c>
      <c r="C470" s="3">
        <v>4.7</v>
      </c>
      <c r="D470" s="3">
        <v>6377</v>
      </c>
      <c r="E470" s="4">
        <v>5</v>
      </c>
      <c r="F470" s="3">
        <v>2012</v>
      </c>
      <c r="G470" s="3" t="s">
        <v>14</v>
      </c>
    </row>
    <row r="471" spans="1:7" ht="14.25" customHeight="1" x14ac:dyDescent="0.3">
      <c r="A471" s="3" t="s">
        <v>528</v>
      </c>
      <c r="B471" s="3" t="s">
        <v>336</v>
      </c>
      <c r="C471" s="3">
        <v>4.7</v>
      </c>
      <c r="D471" s="3">
        <v>1463</v>
      </c>
      <c r="E471" s="4">
        <v>5</v>
      </c>
      <c r="F471" s="3">
        <v>2011</v>
      </c>
      <c r="G471" s="3" t="s">
        <v>14</v>
      </c>
    </row>
    <row r="472" spans="1:7" ht="14.25" customHeight="1" x14ac:dyDescent="0.3">
      <c r="A472" s="3" t="s">
        <v>529</v>
      </c>
      <c r="B472" s="3" t="s">
        <v>530</v>
      </c>
      <c r="C472" s="3">
        <v>4.4000000000000004</v>
      </c>
      <c r="D472" s="3">
        <v>3759</v>
      </c>
      <c r="E472" s="4">
        <v>5</v>
      </c>
      <c r="F472" s="3">
        <v>2009</v>
      </c>
      <c r="G472" s="3" t="s">
        <v>14</v>
      </c>
    </row>
    <row r="473" spans="1:7" ht="14.25" customHeight="1" x14ac:dyDescent="0.3">
      <c r="A473" s="3" t="s">
        <v>531</v>
      </c>
      <c r="B473" s="3" t="s">
        <v>106</v>
      </c>
      <c r="C473" s="3">
        <v>4.4000000000000004</v>
      </c>
      <c r="D473" s="3">
        <v>3503</v>
      </c>
      <c r="E473" s="4">
        <v>5</v>
      </c>
      <c r="F473" s="3">
        <v>2009</v>
      </c>
      <c r="G473" s="3" t="s">
        <v>11</v>
      </c>
    </row>
    <row r="474" spans="1:7" ht="14.25" customHeight="1" x14ac:dyDescent="0.3">
      <c r="A474" s="3" t="s">
        <v>532</v>
      </c>
      <c r="B474" s="3" t="s">
        <v>533</v>
      </c>
      <c r="C474" s="3">
        <v>4.7</v>
      </c>
      <c r="D474" s="3">
        <v>11550</v>
      </c>
      <c r="E474" s="4">
        <v>5</v>
      </c>
      <c r="F474" s="3">
        <v>2019</v>
      </c>
      <c r="G474" s="3" t="s">
        <v>11</v>
      </c>
    </row>
    <row r="475" spans="1:7" ht="14.25" customHeight="1" x14ac:dyDescent="0.3">
      <c r="A475" s="3" t="s">
        <v>534</v>
      </c>
      <c r="B475" s="3" t="s">
        <v>78</v>
      </c>
      <c r="C475" s="3">
        <v>4.7</v>
      </c>
      <c r="D475" s="3">
        <v>3801</v>
      </c>
      <c r="E475" s="4">
        <v>5</v>
      </c>
      <c r="F475" s="3">
        <v>2009</v>
      </c>
      <c r="G475" s="3" t="s">
        <v>14</v>
      </c>
    </row>
    <row r="476" spans="1:7" ht="14.25" customHeight="1" x14ac:dyDescent="0.3">
      <c r="A476" s="3" t="s">
        <v>535</v>
      </c>
      <c r="B476" s="3" t="s">
        <v>83</v>
      </c>
      <c r="C476" s="3">
        <v>4.8</v>
      </c>
      <c r="D476" s="3">
        <v>3796</v>
      </c>
      <c r="E476" s="4">
        <v>5</v>
      </c>
      <c r="F476" s="3">
        <v>2010</v>
      </c>
      <c r="G476" s="3" t="s">
        <v>14</v>
      </c>
    </row>
    <row r="477" spans="1:7" ht="14.25" customHeight="1" x14ac:dyDescent="0.3">
      <c r="A477" s="3" t="s">
        <v>536</v>
      </c>
      <c r="B477" s="3" t="s">
        <v>537</v>
      </c>
      <c r="C477" s="3">
        <v>4.7</v>
      </c>
      <c r="D477" s="3">
        <v>9030</v>
      </c>
      <c r="E477" s="4">
        <v>5</v>
      </c>
      <c r="F477" s="3">
        <v>2019</v>
      </c>
      <c r="G477" s="3" t="s">
        <v>11</v>
      </c>
    </row>
    <row r="478" spans="1:7" ht="14.25" customHeight="1" x14ac:dyDescent="0.3">
      <c r="A478" s="3" t="s">
        <v>538</v>
      </c>
      <c r="B478" s="3" t="s">
        <v>539</v>
      </c>
      <c r="C478" s="3">
        <v>4.9000000000000004</v>
      </c>
      <c r="D478" s="3">
        <v>19546</v>
      </c>
      <c r="E478" s="4">
        <v>5</v>
      </c>
      <c r="F478" s="3">
        <v>2013</v>
      </c>
      <c r="G478" s="3" t="s">
        <v>14</v>
      </c>
    </row>
    <row r="479" spans="1:7" ht="14.25" customHeight="1" x14ac:dyDescent="0.3">
      <c r="A479" s="3" t="s">
        <v>538</v>
      </c>
      <c r="B479" s="3" t="s">
        <v>539</v>
      </c>
      <c r="C479" s="3">
        <v>4.9000000000000004</v>
      </c>
      <c r="D479" s="3">
        <v>19546</v>
      </c>
      <c r="E479" s="4">
        <v>5</v>
      </c>
      <c r="F479" s="3">
        <v>2014</v>
      </c>
      <c r="G479" s="3" t="s">
        <v>14</v>
      </c>
    </row>
    <row r="480" spans="1:7" ht="14.25" customHeight="1" x14ac:dyDescent="0.3">
      <c r="A480" s="3" t="s">
        <v>538</v>
      </c>
      <c r="B480" s="3" t="s">
        <v>539</v>
      </c>
      <c r="C480" s="3">
        <v>4.9000000000000004</v>
      </c>
      <c r="D480" s="3">
        <v>19546</v>
      </c>
      <c r="E480" s="4">
        <v>5</v>
      </c>
      <c r="F480" s="3">
        <v>2015</v>
      </c>
      <c r="G480" s="3" t="s">
        <v>14</v>
      </c>
    </row>
    <row r="481" spans="1:7" ht="14.25" customHeight="1" x14ac:dyDescent="0.3">
      <c r="A481" s="3" t="s">
        <v>538</v>
      </c>
      <c r="B481" s="3" t="s">
        <v>539</v>
      </c>
      <c r="C481" s="3">
        <v>4.9000000000000004</v>
      </c>
      <c r="D481" s="3">
        <v>19546</v>
      </c>
      <c r="E481" s="4">
        <v>5</v>
      </c>
      <c r="F481" s="3">
        <v>2016</v>
      </c>
      <c r="G481" s="3" t="s">
        <v>14</v>
      </c>
    </row>
    <row r="482" spans="1:7" ht="14.25" customHeight="1" x14ac:dyDescent="0.3">
      <c r="A482" s="3" t="s">
        <v>538</v>
      </c>
      <c r="B482" s="3" t="s">
        <v>539</v>
      </c>
      <c r="C482" s="3">
        <v>4.9000000000000004</v>
      </c>
      <c r="D482" s="3">
        <v>19546</v>
      </c>
      <c r="E482" s="4">
        <v>5</v>
      </c>
      <c r="F482" s="3">
        <v>2017</v>
      </c>
      <c r="G482" s="3" t="s">
        <v>14</v>
      </c>
    </row>
    <row r="483" spans="1:7" ht="14.25" customHeight="1" x14ac:dyDescent="0.3">
      <c r="A483" s="3" t="s">
        <v>538</v>
      </c>
      <c r="B483" s="3" t="s">
        <v>539</v>
      </c>
      <c r="C483" s="3">
        <v>4.9000000000000004</v>
      </c>
      <c r="D483" s="3">
        <v>19546</v>
      </c>
      <c r="E483" s="4">
        <v>5</v>
      </c>
      <c r="F483" s="3">
        <v>2018</v>
      </c>
      <c r="G483" s="3" t="s">
        <v>14</v>
      </c>
    </row>
    <row r="484" spans="1:7" ht="14.25" customHeight="1" x14ac:dyDescent="0.3">
      <c r="A484" s="3" t="s">
        <v>538</v>
      </c>
      <c r="B484" s="3" t="s">
        <v>539</v>
      </c>
      <c r="C484" s="3">
        <v>4.9000000000000004</v>
      </c>
      <c r="D484" s="3">
        <v>19546</v>
      </c>
      <c r="E484" s="4">
        <v>5</v>
      </c>
      <c r="F484" s="3">
        <v>2019</v>
      </c>
      <c r="G484" s="3" t="s">
        <v>14</v>
      </c>
    </row>
    <row r="485" spans="1:7" ht="14.25" customHeight="1" x14ac:dyDescent="0.3">
      <c r="A485" s="3" t="s">
        <v>540</v>
      </c>
      <c r="B485" s="3" t="s">
        <v>541</v>
      </c>
      <c r="C485" s="3">
        <v>4.5999999999999996</v>
      </c>
      <c r="D485" s="3">
        <v>7508</v>
      </c>
      <c r="E485" s="4">
        <v>5</v>
      </c>
      <c r="F485" s="3">
        <v>2015</v>
      </c>
      <c r="G485" s="3" t="s">
        <v>11</v>
      </c>
    </row>
    <row r="486" spans="1:7" ht="14.25" customHeight="1" x14ac:dyDescent="0.3">
      <c r="A486" s="3" t="s">
        <v>540</v>
      </c>
      <c r="B486" s="3" t="s">
        <v>541</v>
      </c>
      <c r="C486" s="3">
        <v>4.5999999999999996</v>
      </c>
      <c r="D486" s="3">
        <v>7508</v>
      </c>
      <c r="E486" s="4">
        <v>5</v>
      </c>
      <c r="F486" s="3">
        <v>2016</v>
      </c>
      <c r="G486" s="3" t="s">
        <v>11</v>
      </c>
    </row>
    <row r="487" spans="1:7" ht="14.25" customHeight="1" x14ac:dyDescent="0.3">
      <c r="A487" s="3" t="s">
        <v>540</v>
      </c>
      <c r="B487" s="3" t="s">
        <v>541</v>
      </c>
      <c r="C487" s="3">
        <v>4.5999999999999996</v>
      </c>
      <c r="D487" s="3">
        <v>7508</v>
      </c>
      <c r="E487" s="4">
        <v>5</v>
      </c>
      <c r="F487" s="3">
        <v>2017</v>
      </c>
      <c r="G487" s="3" t="s">
        <v>11</v>
      </c>
    </row>
    <row r="488" spans="1:7" ht="14.25" customHeight="1" x14ac:dyDescent="0.3">
      <c r="A488" s="3" t="s">
        <v>542</v>
      </c>
      <c r="B488" s="3" t="s">
        <v>543</v>
      </c>
      <c r="C488" s="3">
        <v>4.9000000000000004</v>
      </c>
      <c r="D488" s="3">
        <v>8842</v>
      </c>
      <c r="E488" s="4">
        <v>5</v>
      </c>
      <c r="F488" s="3">
        <v>2016</v>
      </c>
      <c r="G488" s="3" t="s">
        <v>14</v>
      </c>
    </row>
    <row r="489" spans="1:7" ht="14.25" customHeight="1" x14ac:dyDescent="0.3">
      <c r="A489" s="3" t="s">
        <v>542</v>
      </c>
      <c r="B489" s="3" t="s">
        <v>543</v>
      </c>
      <c r="C489" s="3">
        <v>4.9000000000000004</v>
      </c>
      <c r="D489" s="3">
        <v>8842</v>
      </c>
      <c r="E489" s="4">
        <v>5</v>
      </c>
      <c r="F489" s="3">
        <v>2017</v>
      </c>
      <c r="G489" s="3" t="s">
        <v>14</v>
      </c>
    </row>
    <row r="490" spans="1:7" ht="14.25" customHeight="1" x14ac:dyDescent="0.3">
      <c r="A490" s="3" t="s">
        <v>542</v>
      </c>
      <c r="B490" s="3" t="s">
        <v>543</v>
      </c>
      <c r="C490" s="3">
        <v>4.9000000000000004</v>
      </c>
      <c r="D490" s="3">
        <v>8842</v>
      </c>
      <c r="E490" s="4">
        <v>5</v>
      </c>
      <c r="F490" s="3">
        <v>2018</v>
      </c>
      <c r="G490" s="3" t="s">
        <v>14</v>
      </c>
    </row>
    <row r="491" spans="1:7" ht="14.25" customHeight="1" x14ac:dyDescent="0.3">
      <c r="A491" s="3" t="s">
        <v>542</v>
      </c>
      <c r="B491" s="3" t="s">
        <v>543</v>
      </c>
      <c r="C491" s="3">
        <v>4.9000000000000004</v>
      </c>
      <c r="D491" s="3">
        <v>8842</v>
      </c>
      <c r="E491" s="4">
        <v>5</v>
      </c>
      <c r="F491" s="3">
        <v>2019</v>
      </c>
      <c r="G491" s="3" t="s">
        <v>14</v>
      </c>
    </row>
    <row r="492" spans="1:7" ht="14.25" customHeight="1" x14ac:dyDescent="0.3">
      <c r="A492" s="3" t="s">
        <v>544</v>
      </c>
      <c r="B492" s="3" t="s">
        <v>545</v>
      </c>
      <c r="C492" s="3">
        <v>4.8</v>
      </c>
      <c r="D492" s="3">
        <v>30183</v>
      </c>
      <c r="E492" s="4">
        <v>5</v>
      </c>
      <c r="F492" s="3">
        <v>2018</v>
      </c>
      <c r="G492" s="3" t="s">
        <v>14</v>
      </c>
    </row>
    <row r="493" spans="1:7" ht="14.25" customHeight="1" x14ac:dyDescent="0.3">
      <c r="A493" s="3" t="s">
        <v>544</v>
      </c>
      <c r="B493" s="3" t="s">
        <v>545</v>
      </c>
      <c r="C493" s="3">
        <v>4.8</v>
      </c>
      <c r="D493" s="3">
        <v>30183</v>
      </c>
      <c r="E493" s="4">
        <v>5</v>
      </c>
      <c r="F493" s="3">
        <v>2019</v>
      </c>
      <c r="G493" s="3" t="s">
        <v>14</v>
      </c>
    </row>
    <row r="494" spans="1:7" ht="14.25" customHeight="1" x14ac:dyDescent="0.3">
      <c r="A494" s="3" t="s">
        <v>546</v>
      </c>
      <c r="B494" s="3" t="s">
        <v>547</v>
      </c>
      <c r="C494" s="3">
        <v>4.7</v>
      </c>
      <c r="D494" s="3">
        <v>6169</v>
      </c>
      <c r="E494" s="4">
        <v>5</v>
      </c>
      <c r="F494" s="3">
        <v>2015</v>
      </c>
      <c r="G494" s="3" t="s">
        <v>11</v>
      </c>
    </row>
    <row r="495" spans="1:7" ht="14.25" customHeight="1" x14ac:dyDescent="0.3">
      <c r="A495" s="3" t="s">
        <v>548</v>
      </c>
      <c r="B495" s="3" t="s">
        <v>549</v>
      </c>
      <c r="C495" s="3">
        <v>4.7</v>
      </c>
      <c r="D495" s="3">
        <v>7034</v>
      </c>
      <c r="E495" s="4">
        <v>5</v>
      </c>
      <c r="F495" s="3">
        <v>2013</v>
      </c>
      <c r="G495" s="3" t="s">
        <v>11</v>
      </c>
    </row>
    <row r="496" spans="1:7" ht="14.25" customHeight="1" x14ac:dyDescent="0.3">
      <c r="A496" s="3" t="s">
        <v>550</v>
      </c>
      <c r="B496" s="3" t="s">
        <v>551</v>
      </c>
      <c r="C496" s="3">
        <v>4.5999999999999996</v>
      </c>
      <c r="D496" s="3">
        <v>11034</v>
      </c>
      <c r="E496" s="4">
        <v>5</v>
      </c>
      <c r="F496" s="3">
        <v>2011</v>
      </c>
      <c r="G496" s="3" t="s">
        <v>11</v>
      </c>
    </row>
    <row r="497" spans="1:7" ht="14.25" customHeight="1" x14ac:dyDescent="0.3">
      <c r="A497" s="3" t="s">
        <v>550</v>
      </c>
      <c r="B497" s="3" t="s">
        <v>551</v>
      </c>
      <c r="C497" s="3">
        <v>4.5999999999999996</v>
      </c>
      <c r="D497" s="3">
        <v>11034</v>
      </c>
      <c r="E497" s="4">
        <v>5</v>
      </c>
      <c r="F497" s="3">
        <v>2012</v>
      </c>
      <c r="G497" s="3" t="s">
        <v>11</v>
      </c>
    </row>
    <row r="498" spans="1:7" ht="14.25" customHeight="1" x14ac:dyDescent="0.3">
      <c r="A498" s="3" t="s">
        <v>552</v>
      </c>
      <c r="B498" s="3" t="s">
        <v>553</v>
      </c>
      <c r="C498" s="3">
        <v>4.5</v>
      </c>
      <c r="D498" s="3">
        <v>7932</v>
      </c>
      <c r="E498" s="4">
        <v>5</v>
      </c>
      <c r="F498" s="3">
        <v>2017</v>
      </c>
      <c r="G498" s="3" t="s">
        <v>14</v>
      </c>
    </row>
    <row r="499" spans="1:7" ht="14.25" customHeight="1" x14ac:dyDescent="0.3">
      <c r="A499" s="3" t="s">
        <v>554</v>
      </c>
      <c r="B499" s="3" t="s">
        <v>555</v>
      </c>
      <c r="C499" s="3">
        <v>4.5</v>
      </c>
      <c r="D499" s="3">
        <v>1904</v>
      </c>
      <c r="E499" s="4">
        <v>5</v>
      </c>
      <c r="F499" s="3">
        <v>2012</v>
      </c>
      <c r="G499" s="3" t="s">
        <v>11</v>
      </c>
    </row>
    <row r="500" spans="1:7" ht="14.25" customHeight="1" x14ac:dyDescent="0.3">
      <c r="A500" s="3" t="s">
        <v>556</v>
      </c>
      <c r="B500" s="3" t="s">
        <v>557</v>
      </c>
      <c r="C500" s="3">
        <v>4.3</v>
      </c>
      <c r="D500" s="3">
        <v>3319</v>
      </c>
      <c r="E500" s="4">
        <v>5</v>
      </c>
      <c r="F500" s="3">
        <v>2009</v>
      </c>
      <c r="G500" s="3" t="s">
        <v>11</v>
      </c>
    </row>
    <row r="501" spans="1:7" ht="14.25" customHeight="1" x14ac:dyDescent="0.3">
      <c r="A501" s="3" t="s">
        <v>556</v>
      </c>
      <c r="B501" s="3" t="s">
        <v>557</v>
      </c>
      <c r="C501" s="3">
        <v>4.3</v>
      </c>
      <c r="D501" s="3">
        <v>3319</v>
      </c>
      <c r="E501" s="4">
        <v>4</v>
      </c>
      <c r="F501" s="3">
        <v>2010</v>
      </c>
      <c r="G501" s="3" t="s">
        <v>11</v>
      </c>
    </row>
    <row r="502" spans="1:7" ht="14.25" customHeight="1" x14ac:dyDescent="0.3">
      <c r="A502" s="3" t="s">
        <v>558</v>
      </c>
      <c r="B502" s="3" t="s">
        <v>559</v>
      </c>
      <c r="C502" s="3">
        <v>4.5999999999999996</v>
      </c>
      <c r="D502" s="3">
        <v>11128</v>
      </c>
      <c r="E502" s="4">
        <v>4</v>
      </c>
      <c r="F502" s="3">
        <v>2014</v>
      </c>
      <c r="G502" s="3" t="s">
        <v>11</v>
      </c>
    </row>
    <row r="503" spans="1:7" ht="14.25" customHeight="1" x14ac:dyDescent="0.3">
      <c r="A503" s="3" t="s">
        <v>558</v>
      </c>
      <c r="B503" s="3" t="s">
        <v>559</v>
      </c>
      <c r="C503" s="3">
        <v>4.5999999999999996</v>
      </c>
      <c r="D503" s="3">
        <v>11128</v>
      </c>
      <c r="E503" s="4">
        <v>4</v>
      </c>
      <c r="F503" s="3">
        <v>2015</v>
      </c>
      <c r="G503" s="3" t="s">
        <v>11</v>
      </c>
    </row>
    <row r="504" spans="1:7" ht="14.25" customHeight="1" x14ac:dyDescent="0.3">
      <c r="A504" s="3" t="s">
        <v>558</v>
      </c>
      <c r="B504" s="3" t="s">
        <v>559</v>
      </c>
      <c r="C504" s="3">
        <v>4.5999999999999996</v>
      </c>
      <c r="D504" s="3">
        <v>11128</v>
      </c>
      <c r="E504" s="4">
        <v>4</v>
      </c>
      <c r="F504" s="3">
        <v>2016</v>
      </c>
      <c r="G504" s="3" t="s">
        <v>11</v>
      </c>
    </row>
    <row r="505" spans="1:7" ht="14.25" customHeight="1" x14ac:dyDescent="0.3">
      <c r="A505" s="3" t="s">
        <v>558</v>
      </c>
      <c r="B505" s="3" t="s">
        <v>559</v>
      </c>
      <c r="C505" s="3">
        <v>4.5999999999999996</v>
      </c>
      <c r="D505" s="3">
        <v>11128</v>
      </c>
      <c r="E505" s="4">
        <v>4</v>
      </c>
      <c r="F505" s="3">
        <v>2017</v>
      </c>
      <c r="G505" s="3" t="s">
        <v>11</v>
      </c>
    </row>
    <row r="506" spans="1:7" ht="14.25" customHeight="1" x14ac:dyDescent="0.3">
      <c r="A506" s="3" t="s">
        <v>560</v>
      </c>
      <c r="B506" s="3" t="s">
        <v>561</v>
      </c>
      <c r="C506" s="3">
        <v>4.3</v>
      </c>
      <c r="D506" s="3">
        <v>5977</v>
      </c>
      <c r="E506" s="4">
        <v>4</v>
      </c>
      <c r="F506" s="3">
        <v>2011</v>
      </c>
      <c r="G506" s="3" t="s">
        <v>11</v>
      </c>
    </row>
    <row r="507" spans="1:7" ht="14.25" customHeight="1" x14ac:dyDescent="0.3">
      <c r="A507" s="3" t="s">
        <v>562</v>
      </c>
      <c r="B507" s="3" t="s">
        <v>187</v>
      </c>
      <c r="C507" s="3">
        <v>4.8</v>
      </c>
      <c r="D507" s="3">
        <v>26234</v>
      </c>
      <c r="E507" s="4">
        <v>4</v>
      </c>
      <c r="F507" s="3">
        <v>2013</v>
      </c>
      <c r="G507" s="3" t="s">
        <v>14</v>
      </c>
    </row>
    <row r="508" spans="1:7" ht="14.25" customHeight="1" x14ac:dyDescent="0.3">
      <c r="A508" s="3" t="s">
        <v>562</v>
      </c>
      <c r="B508" s="3" t="s">
        <v>187</v>
      </c>
      <c r="C508" s="3">
        <v>4.8</v>
      </c>
      <c r="D508" s="3">
        <v>26234</v>
      </c>
      <c r="E508" s="4">
        <v>4</v>
      </c>
      <c r="F508" s="3">
        <v>2014</v>
      </c>
      <c r="G508" s="3" t="s">
        <v>14</v>
      </c>
    </row>
    <row r="509" spans="1:7" ht="14.25" customHeight="1" x14ac:dyDescent="0.3">
      <c r="A509" s="3" t="s">
        <v>562</v>
      </c>
      <c r="B509" s="3" t="s">
        <v>187</v>
      </c>
      <c r="C509" s="3">
        <v>4.8</v>
      </c>
      <c r="D509" s="3">
        <v>26234</v>
      </c>
      <c r="E509" s="4">
        <v>4</v>
      </c>
      <c r="F509" s="3">
        <v>2015</v>
      </c>
      <c r="G509" s="3" t="s">
        <v>14</v>
      </c>
    </row>
    <row r="510" spans="1:7" ht="14.25" customHeight="1" x14ac:dyDescent="0.3">
      <c r="A510" s="3" t="s">
        <v>562</v>
      </c>
      <c r="B510" s="3" t="s">
        <v>187</v>
      </c>
      <c r="C510" s="3">
        <v>4.8</v>
      </c>
      <c r="D510" s="3">
        <v>26234</v>
      </c>
      <c r="E510" s="4">
        <v>4</v>
      </c>
      <c r="F510" s="3">
        <v>2016</v>
      </c>
      <c r="G510" s="3" t="s">
        <v>14</v>
      </c>
    </row>
    <row r="511" spans="1:7" ht="14.25" customHeight="1" x14ac:dyDescent="0.3">
      <c r="A511" s="3" t="s">
        <v>562</v>
      </c>
      <c r="B511" s="3" t="s">
        <v>187</v>
      </c>
      <c r="C511" s="3">
        <v>4.8</v>
      </c>
      <c r="D511" s="3">
        <v>26234</v>
      </c>
      <c r="E511" s="4">
        <v>4</v>
      </c>
      <c r="F511" s="3">
        <v>2019</v>
      </c>
      <c r="G511" s="3" t="s">
        <v>14</v>
      </c>
    </row>
    <row r="512" spans="1:7" ht="14.25" customHeight="1" x14ac:dyDescent="0.3">
      <c r="A512" s="3" t="s">
        <v>563</v>
      </c>
      <c r="B512" s="3" t="s">
        <v>386</v>
      </c>
      <c r="C512" s="3">
        <v>4.5999999999999996</v>
      </c>
      <c r="D512" s="3">
        <v>4360</v>
      </c>
      <c r="E512" s="4">
        <v>4</v>
      </c>
      <c r="F512" s="3">
        <v>2017</v>
      </c>
      <c r="G512" s="3" t="s">
        <v>11</v>
      </c>
    </row>
    <row r="513" spans="1:7" ht="14.25" customHeight="1" x14ac:dyDescent="0.3">
      <c r="A513" s="3" t="s">
        <v>564</v>
      </c>
      <c r="B513" s="3" t="s">
        <v>565</v>
      </c>
      <c r="C513" s="3">
        <v>4.8</v>
      </c>
      <c r="D513" s="3">
        <v>2282</v>
      </c>
      <c r="E513" s="4">
        <v>4</v>
      </c>
      <c r="F513" s="3">
        <v>2010</v>
      </c>
      <c r="G513" s="3" t="s">
        <v>14</v>
      </c>
    </row>
    <row r="514" spans="1:7" ht="14.25" customHeight="1" x14ac:dyDescent="0.3">
      <c r="A514" s="3" t="s">
        <v>566</v>
      </c>
      <c r="B514" s="3" t="s">
        <v>567</v>
      </c>
      <c r="C514" s="3">
        <v>4.5</v>
      </c>
      <c r="D514" s="3">
        <v>438</v>
      </c>
      <c r="E514" s="4">
        <v>4</v>
      </c>
      <c r="F514" s="3">
        <v>2009</v>
      </c>
      <c r="G514" s="3" t="s">
        <v>11</v>
      </c>
    </row>
    <row r="515" spans="1:7" ht="14.25" customHeight="1" x14ac:dyDescent="0.3">
      <c r="A515" s="3" t="s">
        <v>568</v>
      </c>
      <c r="B515" s="3" t="s">
        <v>78</v>
      </c>
      <c r="C515" s="3">
        <v>4.7</v>
      </c>
      <c r="D515" s="3">
        <v>11676</v>
      </c>
      <c r="E515" s="4">
        <v>4</v>
      </c>
      <c r="F515" s="3">
        <v>2009</v>
      </c>
      <c r="G515" s="3" t="s">
        <v>14</v>
      </c>
    </row>
    <row r="516" spans="1:7" ht="14.25" customHeight="1" x14ac:dyDescent="0.3">
      <c r="A516" s="3" t="s">
        <v>569</v>
      </c>
      <c r="B516" s="3" t="s">
        <v>63</v>
      </c>
      <c r="C516" s="3">
        <v>4.5</v>
      </c>
      <c r="D516" s="3">
        <v>2586</v>
      </c>
      <c r="E516" s="4">
        <v>4</v>
      </c>
      <c r="F516" s="3">
        <v>2014</v>
      </c>
      <c r="G516" s="3" t="s">
        <v>14</v>
      </c>
    </row>
    <row r="517" spans="1:7" ht="14.25" customHeight="1" x14ac:dyDescent="0.3">
      <c r="A517" s="3" t="s">
        <v>570</v>
      </c>
      <c r="B517" s="3" t="s">
        <v>571</v>
      </c>
      <c r="C517" s="3">
        <v>4.8</v>
      </c>
      <c r="D517" s="3">
        <v>29673</v>
      </c>
      <c r="E517" s="4">
        <v>4</v>
      </c>
      <c r="F517" s="3">
        <v>2010</v>
      </c>
      <c r="G517" s="3" t="s">
        <v>11</v>
      </c>
    </row>
    <row r="518" spans="1:7" ht="14.25" customHeight="1" x14ac:dyDescent="0.3">
      <c r="A518" s="3" t="s">
        <v>570</v>
      </c>
      <c r="B518" s="3" t="s">
        <v>571</v>
      </c>
      <c r="C518" s="3">
        <v>4.8</v>
      </c>
      <c r="D518" s="3">
        <v>29673</v>
      </c>
      <c r="E518" s="4">
        <v>4</v>
      </c>
      <c r="F518" s="3">
        <v>2011</v>
      </c>
      <c r="G518" s="3" t="s">
        <v>11</v>
      </c>
    </row>
    <row r="519" spans="1:7" ht="14.25" customHeight="1" x14ac:dyDescent="0.3">
      <c r="A519" s="3" t="s">
        <v>570</v>
      </c>
      <c r="B519" s="3" t="s">
        <v>571</v>
      </c>
      <c r="C519" s="3">
        <v>4.8</v>
      </c>
      <c r="D519" s="3">
        <v>29673</v>
      </c>
      <c r="E519" s="4">
        <v>4</v>
      </c>
      <c r="F519" s="3">
        <v>2012</v>
      </c>
      <c r="G519" s="3" t="s">
        <v>11</v>
      </c>
    </row>
    <row r="520" spans="1:7" ht="14.25" customHeight="1" x14ac:dyDescent="0.3">
      <c r="A520" s="3" t="s">
        <v>570</v>
      </c>
      <c r="B520" s="3" t="s">
        <v>571</v>
      </c>
      <c r="C520" s="3">
        <v>4.8</v>
      </c>
      <c r="D520" s="3">
        <v>29673</v>
      </c>
      <c r="E520" s="4">
        <v>4</v>
      </c>
      <c r="F520" s="3">
        <v>2014</v>
      </c>
      <c r="G520" s="3" t="s">
        <v>11</v>
      </c>
    </row>
    <row r="521" spans="1:7" ht="14.25" customHeight="1" x14ac:dyDescent="0.3">
      <c r="A521" s="3" t="s">
        <v>570</v>
      </c>
      <c r="B521" s="3" t="s">
        <v>571</v>
      </c>
      <c r="C521" s="3">
        <v>4.8</v>
      </c>
      <c r="D521" s="3">
        <v>29673</v>
      </c>
      <c r="E521" s="4">
        <v>4</v>
      </c>
      <c r="F521" s="3">
        <v>2014</v>
      </c>
      <c r="G521" s="3" t="s">
        <v>11</v>
      </c>
    </row>
    <row r="522" spans="1:7" ht="14.25" customHeight="1" x14ac:dyDescent="0.3">
      <c r="A522" s="3" t="s">
        <v>572</v>
      </c>
      <c r="B522" s="3" t="s">
        <v>13</v>
      </c>
      <c r="C522" s="3">
        <v>4.3</v>
      </c>
      <c r="D522" s="3">
        <v>6740</v>
      </c>
      <c r="E522" s="4">
        <v>4</v>
      </c>
      <c r="F522" s="3">
        <v>2009</v>
      </c>
      <c r="G522" s="3" t="s">
        <v>14</v>
      </c>
    </row>
    <row r="523" spans="1:7" ht="14.25" customHeight="1" x14ac:dyDescent="0.3">
      <c r="A523" s="3" t="s">
        <v>573</v>
      </c>
      <c r="B523" s="3" t="s">
        <v>282</v>
      </c>
      <c r="C523" s="3">
        <v>4.9000000000000004</v>
      </c>
      <c r="D523" s="3">
        <v>5956</v>
      </c>
      <c r="E523" s="4">
        <v>4</v>
      </c>
      <c r="F523" s="3">
        <v>2019</v>
      </c>
      <c r="G523" s="3" t="s">
        <v>11</v>
      </c>
    </row>
    <row r="524" spans="1:7" ht="14.25" customHeight="1" x14ac:dyDescent="0.3">
      <c r="A524" s="3" t="s">
        <v>574</v>
      </c>
      <c r="B524" s="3" t="s">
        <v>575</v>
      </c>
      <c r="C524" s="3">
        <v>4.8</v>
      </c>
      <c r="D524" s="3">
        <v>6108</v>
      </c>
      <c r="E524" s="4">
        <v>4</v>
      </c>
      <c r="F524" s="3">
        <v>2019</v>
      </c>
      <c r="G524" s="3" t="s">
        <v>11</v>
      </c>
    </row>
    <row r="525" spans="1:7" ht="14.25" customHeight="1" x14ac:dyDescent="0.3">
      <c r="A525" s="3" t="s">
        <v>576</v>
      </c>
      <c r="B525" s="3" t="s">
        <v>254</v>
      </c>
      <c r="C525" s="3">
        <v>4.7</v>
      </c>
      <c r="D525" s="3">
        <v>4585</v>
      </c>
      <c r="E525" s="4">
        <v>4</v>
      </c>
      <c r="F525" s="3">
        <v>2016</v>
      </c>
      <c r="G525" s="3" t="s">
        <v>11</v>
      </c>
    </row>
    <row r="526" spans="1:7" ht="14.25" customHeight="1" x14ac:dyDescent="0.3">
      <c r="A526" s="3" t="s">
        <v>577</v>
      </c>
      <c r="B526" s="3" t="s">
        <v>578</v>
      </c>
      <c r="C526" s="3">
        <v>4.8</v>
      </c>
      <c r="D526" s="3">
        <v>3829</v>
      </c>
      <c r="E526" s="4">
        <v>4</v>
      </c>
      <c r="F526" s="3">
        <v>2009</v>
      </c>
      <c r="G526" s="3" t="s">
        <v>14</v>
      </c>
    </row>
    <row r="527" spans="1:7" ht="14.25" customHeight="1" x14ac:dyDescent="0.3">
      <c r="A527" s="3" t="s">
        <v>579</v>
      </c>
      <c r="B527" s="3" t="s">
        <v>580</v>
      </c>
      <c r="C527" s="3">
        <v>4.5</v>
      </c>
      <c r="D527" s="3">
        <v>8958</v>
      </c>
      <c r="E527" s="4">
        <v>4</v>
      </c>
      <c r="F527" s="3">
        <v>2011</v>
      </c>
      <c r="G527" s="3" t="s">
        <v>14</v>
      </c>
    </row>
    <row r="528" spans="1:7" ht="14.25" customHeight="1" x14ac:dyDescent="0.3">
      <c r="A528" s="3" t="s">
        <v>581</v>
      </c>
      <c r="B528" s="3" t="s">
        <v>582</v>
      </c>
      <c r="C528" s="3">
        <v>4.5999999999999996</v>
      </c>
      <c r="D528" s="3">
        <v>5492</v>
      </c>
      <c r="E528" s="4">
        <v>4</v>
      </c>
      <c r="F528" s="3">
        <v>2017</v>
      </c>
      <c r="G528" s="3" t="s">
        <v>11</v>
      </c>
    </row>
    <row r="529" spans="1:7" ht="14.25" customHeight="1" x14ac:dyDescent="0.3">
      <c r="A529" s="3" t="s">
        <v>583</v>
      </c>
      <c r="B529" s="3" t="s">
        <v>584</v>
      </c>
      <c r="C529" s="3">
        <v>4.7</v>
      </c>
      <c r="D529" s="3">
        <v>9292</v>
      </c>
      <c r="E529" s="4">
        <v>4</v>
      </c>
      <c r="F529" s="3">
        <v>2014</v>
      </c>
      <c r="G529" s="3" t="s">
        <v>11</v>
      </c>
    </row>
    <row r="530" spans="1:7" ht="14.25" customHeight="1" x14ac:dyDescent="0.3">
      <c r="A530" s="3" t="s">
        <v>585</v>
      </c>
      <c r="B530" s="3" t="s">
        <v>322</v>
      </c>
      <c r="C530" s="3">
        <v>4.7</v>
      </c>
      <c r="D530" s="3">
        <v>1873</v>
      </c>
      <c r="E530" s="4">
        <v>4</v>
      </c>
      <c r="F530" s="3">
        <v>2015</v>
      </c>
      <c r="G530" s="3" t="s">
        <v>14</v>
      </c>
    </row>
    <row r="531" spans="1:7" ht="14.25" customHeight="1" x14ac:dyDescent="0.3">
      <c r="A531" s="3" t="s">
        <v>586</v>
      </c>
      <c r="B531" s="3" t="s">
        <v>587</v>
      </c>
      <c r="C531" s="3">
        <v>4.8</v>
      </c>
      <c r="D531" s="3">
        <v>8170</v>
      </c>
      <c r="E531" s="4">
        <v>4</v>
      </c>
      <c r="F531" s="3">
        <v>2019</v>
      </c>
      <c r="G531" s="3" t="s">
        <v>14</v>
      </c>
    </row>
    <row r="532" spans="1:7" ht="14.25" customHeight="1" x14ac:dyDescent="0.3">
      <c r="A532" s="3" t="s">
        <v>588</v>
      </c>
      <c r="B532" s="3" t="s">
        <v>589</v>
      </c>
      <c r="C532" s="3">
        <v>4.4000000000000004</v>
      </c>
      <c r="D532" s="3">
        <v>3341</v>
      </c>
      <c r="E532" s="4">
        <v>4</v>
      </c>
      <c r="F532" s="3">
        <v>2011</v>
      </c>
      <c r="G532" s="3" t="s">
        <v>11</v>
      </c>
    </row>
    <row r="533" spans="1:7" ht="14.25" customHeight="1" x14ac:dyDescent="0.3">
      <c r="A533" s="3" t="s">
        <v>590</v>
      </c>
      <c r="B533" s="3" t="s">
        <v>591</v>
      </c>
      <c r="C533" s="3">
        <v>4.4000000000000004</v>
      </c>
      <c r="D533" s="3">
        <v>7497</v>
      </c>
      <c r="E533" s="4">
        <v>3</v>
      </c>
      <c r="F533" s="3">
        <v>2012</v>
      </c>
      <c r="G533" s="3" t="s">
        <v>11</v>
      </c>
    </row>
    <row r="534" spans="1:7" ht="14.25" customHeight="1" x14ac:dyDescent="0.3">
      <c r="A534" s="3" t="s">
        <v>590</v>
      </c>
      <c r="B534" s="3" t="s">
        <v>591</v>
      </c>
      <c r="C534" s="3">
        <v>4.4000000000000004</v>
      </c>
      <c r="D534" s="3">
        <v>7497</v>
      </c>
      <c r="E534" s="4">
        <v>2</v>
      </c>
      <c r="F534" s="3">
        <v>2013</v>
      </c>
      <c r="G534" s="3" t="s">
        <v>11</v>
      </c>
    </row>
    <row r="535" spans="1:7" ht="14.25" customHeight="1" x14ac:dyDescent="0.3">
      <c r="A535" s="3" t="s">
        <v>592</v>
      </c>
      <c r="B535" s="3" t="s">
        <v>593</v>
      </c>
      <c r="C535" s="3">
        <v>4.8</v>
      </c>
      <c r="D535" s="3">
        <v>13779</v>
      </c>
      <c r="E535" s="4">
        <v>2</v>
      </c>
      <c r="F535" s="3">
        <v>2016</v>
      </c>
      <c r="G535" s="3" t="s">
        <v>11</v>
      </c>
    </row>
    <row r="536" spans="1:7" ht="14.25" customHeight="1" x14ac:dyDescent="0.3">
      <c r="A536" s="3" t="s">
        <v>594</v>
      </c>
      <c r="B536" s="3" t="s">
        <v>595</v>
      </c>
      <c r="C536" s="3">
        <v>4.8</v>
      </c>
      <c r="D536" s="3">
        <v>87841</v>
      </c>
      <c r="E536" s="4">
        <v>2</v>
      </c>
      <c r="F536" s="3">
        <v>2019</v>
      </c>
      <c r="G536" s="3" t="s">
        <v>14</v>
      </c>
    </row>
    <row r="537" spans="1:7" ht="14.25" customHeight="1" x14ac:dyDescent="0.3">
      <c r="A537" s="3" t="s">
        <v>596</v>
      </c>
      <c r="B537" s="3" t="s">
        <v>597</v>
      </c>
      <c r="C537" s="3">
        <v>4.8</v>
      </c>
      <c r="D537" s="3">
        <v>9967</v>
      </c>
      <c r="E537" s="4">
        <v>2</v>
      </c>
      <c r="F537" s="3">
        <v>2009</v>
      </c>
      <c r="G537" s="3" t="s">
        <v>14</v>
      </c>
    </row>
    <row r="538" spans="1:7" ht="14.25" customHeight="1" x14ac:dyDescent="0.3">
      <c r="A538" s="3" t="s">
        <v>598</v>
      </c>
      <c r="B538" s="3" t="s">
        <v>599</v>
      </c>
      <c r="C538" s="3">
        <v>4.5999999999999996</v>
      </c>
      <c r="D538" s="3">
        <v>6669</v>
      </c>
      <c r="E538" s="4">
        <v>2</v>
      </c>
      <c r="F538" s="3">
        <v>2018</v>
      </c>
      <c r="G538" s="3" t="s">
        <v>11</v>
      </c>
    </row>
    <row r="539" spans="1:7" ht="14.25" customHeight="1" x14ac:dyDescent="0.3">
      <c r="A539" s="3" t="s">
        <v>600</v>
      </c>
      <c r="B539" s="3" t="s">
        <v>601</v>
      </c>
      <c r="C539" s="3">
        <v>4.4000000000000004</v>
      </c>
      <c r="D539" s="3">
        <v>17044</v>
      </c>
      <c r="E539" s="4">
        <v>1</v>
      </c>
      <c r="F539" s="3">
        <v>2012</v>
      </c>
      <c r="G539" s="3" t="s">
        <v>11</v>
      </c>
    </row>
    <row r="540" spans="1:7" ht="14.25" customHeight="1" x14ac:dyDescent="0.3">
      <c r="A540" s="3" t="s">
        <v>602</v>
      </c>
      <c r="B540" s="3" t="s">
        <v>603</v>
      </c>
      <c r="C540" s="3">
        <v>4.5</v>
      </c>
      <c r="D540" s="3">
        <v>10760</v>
      </c>
      <c r="E540" s="4">
        <v>0</v>
      </c>
      <c r="F540" s="3">
        <v>2012</v>
      </c>
      <c r="G540" s="3" t="s">
        <v>14</v>
      </c>
    </row>
    <row r="541" spans="1:7" ht="14.25" customHeight="1" x14ac:dyDescent="0.3">
      <c r="A541" s="3" t="s">
        <v>604</v>
      </c>
      <c r="B541" s="3" t="s">
        <v>605</v>
      </c>
      <c r="C541" s="3">
        <v>4.2</v>
      </c>
      <c r="D541" s="3">
        <v>1302</v>
      </c>
      <c r="E541" s="4">
        <v>0</v>
      </c>
      <c r="F541" s="3">
        <v>2010</v>
      </c>
      <c r="G541" s="3" t="s">
        <v>11</v>
      </c>
    </row>
    <row r="542" spans="1:7" ht="14.25" customHeight="1" x14ac:dyDescent="0.3">
      <c r="A542" s="3" t="s">
        <v>606</v>
      </c>
      <c r="B542" s="3" t="s">
        <v>607</v>
      </c>
      <c r="C542" s="3">
        <v>4.8</v>
      </c>
      <c r="D542" s="3">
        <v>21625</v>
      </c>
      <c r="E542" s="4">
        <v>0</v>
      </c>
      <c r="F542" s="3">
        <v>2013</v>
      </c>
      <c r="G542" s="3" t="s">
        <v>14</v>
      </c>
    </row>
    <row r="543" spans="1:7" ht="14.25" customHeight="1" x14ac:dyDescent="0.3">
      <c r="A543" s="3" t="s">
        <v>606</v>
      </c>
      <c r="B543" s="3" t="s">
        <v>607</v>
      </c>
      <c r="C543" s="3">
        <v>4.8</v>
      </c>
      <c r="D543" s="3">
        <v>21625</v>
      </c>
      <c r="E543" s="4">
        <v>0</v>
      </c>
      <c r="F543" s="3">
        <v>2014</v>
      </c>
      <c r="G543" s="3" t="s">
        <v>14</v>
      </c>
    </row>
    <row r="544" spans="1:7" ht="14.25" customHeight="1" x14ac:dyDescent="0.3">
      <c r="A544" s="3" t="s">
        <v>606</v>
      </c>
      <c r="B544" s="3" t="s">
        <v>607</v>
      </c>
      <c r="C544" s="3">
        <v>4.8</v>
      </c>
      <c r="D544" s="3">
        <v>21625</v>
      </c>
      <c r="E544" s="4">
        <v>0</v>
      </c>
      <c r="F544" s="3">
        <v>2015</v>
      </c>
      <c r="G544" s="3" t="s">
        <v>14</v>
      </c>
    </row>
    <row r="545" spans="1:7" ht="14.25" customHeight="1" x14ac:dyDescent="0.3">
      <c r="A545" s="3" t="s">
        <v>606</v>
      </c>
      <c r="B545" s="3" t="s">
        <v>607</v>
      </c>
      <c r="C545" s="3">
        <v>4.8</v>
      </c>
      <c r="D545" s="3">
        <v>21625</v>
      </c>
      <c r="E545" s="4">
        <v>0</v>
      </c>
      <c r="F545" s="3">
        <v>2016</v>
      </c>
      <c r="G545" s="3" t="s">
        <v>14</v>
      </c>
    </row>
    <row r="546" spans="1:7" ht="14.25" customHeight="1" x14ac:dyDescent="0.3">
      <c r="A546" s="3" t="s">
        <v>606</v>
      </c>
      <c r="B546" s="3" t="s">
        <v>607</v>
      </c>
      <c r="C546" s="3">
        <v>4.8</v>
      </c>
      <c r="D546" s="3">
        <v>21625</v>
      </c>
      <c r="E546" s="4">
        <v>0</v>
      </c>
      <c r="F546" s="3">
        <v>2017</v>
      </c>
      <c r="G546" s="3" t="s">
        <v>14</v>
      </c>
    </row>
    <row r="547" spans="1:7" ht="14.25" customHeight="1" x14ac:dyDescent="0.3">
      <c r="A547" s="3" t="s">
        <v>608</v>
      </c>
      <c r="B547" s="3" t="s">
        <v>83</v>
      </c>
      <c r="C547" s="3">
        <v>4.9000000000000004</v>
      </c>
      <c r="D547" s="3">
        <v>9413</v>
      </c>
      <c r="E547" s="4">
        <v>0</v>
      </c>
      <c r="F547" s="3">
        <v>2019</v>
      </c>
      <c r="G547" s="3" t="s">
        <v>14</v>
      </c>
    </row>
    <row r="548" spans="1:7" ht="14.25" customHeight="1" x14ac:dyDescent="0.3">
      <c r="A548" s="3" t="s">
        <v>609</v>
      </c>
      <c r="B548" s="3" t="s">
        <v>610</v>
      </c>
      <c r="C548" s="3">
        <v>4.7</v>
      </c>
      <c r="D548" s="3">
        <v>14331</v>
      </c>
      <c r="E548" s="4">
        <v>0</v>
      </c>
      <c r="F548" s="3">
        <v>2016</v>
      </c>
      <c r="G548" s="3" t="s">
        <v>11</v>
      </c>
    </row>
    <row r="549" spans="1:7" ht="14.25" customHeight="1" x14ac:dyDescent="0.3">
      <c r="A549" s="3" t="s">
        <v>609</v>
      </c>
      <c r="B549" s="3" t="s">
        <v>610</v>
      </c>
      <c r="C549" s="3">
        <v>4.7</v>
      </c>
      <c r="D549" s="3">
        <v>14331</v>
      </c>
      <c r="E549" s="4">
        <v>0</v>
      </c>
      <c r="F549" s="3">
        <v>2017</v>
      </c>
      <c r="G549" s="3" t="s">
        <v>11</v>
      </c>
    </row>
    <row r="550" spans="1:7" ht="14.25" customHeight="1" x14ac:dyDescent="0.3">
      <c r="A550" s="3" t="s">
        <v>609</v>
      </c>
      <c r="B550" s="3" t="s">
        <v>610</v>
      </c>
      <c r="C550" s="3">
        <v>4.7</v>
      </c>
      <c r="D550" s="3">
        <v>14331</v>
      </c>
      <c r="E550" s="4">
        <v>0</v>
      </c>
      <c r="F550" s="3">
        <v>2018</v>
      </c>
      <c r="G550" s="3" t="s">
        <v>11</v>
      </c>
    </row>
    <row r="551" spans="1:7" ht="14.25" customHeight="1" x14ac:dyDescent="0.3">
      <c r="A551" s="3" t="s">
        <v>609</v>
      </c>
      <c r="B551" s="3" t="s">
        <v>610</v>
      </c>
      <c r="C551" s="3">
        <v>4.7</v>
      </c>
      <c r="D551" s="3">
        <v>14331</v>
      </c>
      <c r="E551" s="4">
        <v>0</v>
      </c>
      <c r="F551" s="3">
        <v>2019</v>
      </c>
      <c r="G551" s="3" t="s">
        <v>11</v>
      </c>
    </row>
    <row r="552" spans="1:7" ht="14.25" customHeight="1" x14ac:dyDescent="0.3"/>
    <row r="553" spans="1:7" ht="14.25" customHeight="1" x14ac:dyDescent="0.3"/>
    <row r="554" spans="1:7" ht="14.25" customHeight="1" x14ac:dyDescent="0.3"/>
    <row r="555" spans="1:7" ht="14.25" customHeight="1" x14ac:dyDescent="0.3"/>
    <row r="556" spans="1:7" ht="14.25" customHeight="1" x14ac:dyDescent="0.3"/>
    <row r="557" spans="1:7" ht="14.25" customHeight="1" x14ac:dyDescent="0.3"/>
    <row r="558" spans="1:7" ht="14.25" customHeight="1" x14ac:dyDescent="0.3"/>
    <row r="559" spans="1:7" ht="14.25" customHeight="1" x14ac:dyDescent="0.3"/>
    <row r="560" spans="1:7"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customSheetViews>
    <customSheetView guid="{56F8F6E4-93AA-4E91-8F86-84C5577758AE}" filter="1" showAutoFilter="1">
      <pageMargins left="0.7" right="0.7" top="0.75" bottom="0.75" header="0.3" footer="0.3"/>
      <autoFilter ref="A1:G552" xr:uid="{F8D4511C-9CD9-471F-A6CC-FB57BDD0DA22}"/>
    </customSheetView>
  </customSheetViews>
  <mergeCells count="2">
    <mergeCell ref="I1:L4"/>
    <mergeCell ref="I6:L10"/>
  </mergeCells>
  <pageMargins left="0.7" right="0.7" top="0.75" bottom="0.75" header="0" footer="0"/>
  <pageSetup orientation="landscape"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352"/>
  <sheetViews>
    <sheetView showGridLines="0" workbookViewId="0">
      <selection activeCell="F9" sqref="F9:H13"/>
    </sheetView>
  </sheetViews>
  <sheetFormatPr defaultColWidth="14.44140625" defaultRowHeight="15" customHeight="1" x14ac:dyDescent="0.3"/>
  <cols>
    <col min="1" max="1" width="109.6640625" customWidth="1"/>
    <col min="2" max="2" width="26.5546875" customWidth="1"/>
    <col min="3" max="3" width="17" customWidth="1"/>
  </cols>
  <sheetData>
    <row r="1" spans="1:8" x14ac:dyDescent="0.3">
      <c r="A1" s="11" t="s">
        <v>0</v>
      </c>
      <c r="B1" s="12" t="s">
        <v>611</v>
      </c>
      <c r="C1" s="5" t="s">
        <v>612</v>
      </c>
      <c r="D1" s="5" t="s">
        <v>613</v>
      </c>
    </row>
    <row r="2" spans="1:8" x14ac:dyDescent="0.3">
      <c r="A2" s="8" t="s">
        <v>342</v>
      </c>
      <c r="B2" s="47">
        <v>110</v>
      </c>
      <c r="C2" s="2">
        <f>COUNTIF(Worksheet!A:A, A2)</f>
        <v>10</v>
      </c>
      <c r="D2" s="2">
        <f ca="1">IFERROR(__xludf.DUMMYFUNCTION("COUNTUNIQUE(Worksheet!E2:E551)"),40)</f>
        <v>40</v>
      </c>
      <c r="F2" s="29" t="s">
        <v>614</v>
      </c>
      <c r="G2" s="30"/>
      <c r="H2" s="31"/>
    </row>
    <row r="3" spans="1:8" x14ac:dyDescent="0.3">
      <c r="A3" s="9" t="s">
        <v>9</v>
      </c>
      <c r="B3" s="48">
        <v>105</v>
      </c>
      <c r="C3" s="2">
        <f>COUNTIF(Worksheet!A:A, A3)</f>
        <v>1</v>
      </c>
      <c r="F3" s="32"/>
      <c r="G3" s="33"/>
      <c r="H3" s="34"/>
    </row>
    <row r="4" spans="1:8" x14ac:dyDescent="0.3">
      <c r="A4" s="9" t="s">
        <v>12</v>
      </c>
      <c r="B4" s="48">
        <v>105</v>
      </c>
      <c r="C4" s="2">
        <f>COUNTIF(Worksheet!A:A, A4)</f>
        <v>1</v>
      </c>
      <c r="F4" s="32"/>
      <c r="G4" s="33"/>
      <c r="H4" s="34"/>
    </row>
    <row r="5" spans="1:8" x14ac:dyDescent="0.3">
      <c r="A5" s="9" t="s">
        <v>321</v>
      </c>
      <c r="B5" s="48">
        <v>92</v>
      </c>
      <c r="C5" s="2">
        <f>COUNTIF(Worksheet!A:A, A5)</f>
        <v>8</v>
      </c>
      <c r="F5" s="32"/>
      <c r="G5" s="33"/>
      <c r="H5" s="34"/>
    </row>
    <row r="6" spans="1:8" x14ac:dyDescent="0.3">
      <c r="A6" s="9" t="s">
        <v>29</v>
      </c>
      <c r="B6" s="48">
        <v>92</v>
      </c>
      <c r="C6" s="2">
        <f>COUNTIF(Worksheet!A:A, A6)</f>
        <v>2</v>
      </c>
      <c r="F6" s="35"/>
      <c r="G6" s="36"/>
      <c r="H6" s="37"/>
    </row>
    <row r="7" spans="1:8" x14ac:dyDescent="0.3">
      <c r="A7" s="9" t="s">
        <v>387</v>
      </c>
      <c r="B7" s="48">
        <v>90</v>
      </c>
      <c r="C7" s="2">
        <f>COUNTIF(Worksheet!A:A, A7)</f>
        <v>10</v>
      </c>
    </row>
    <row r="8" spans="1:8" x14ac:dyDescent="0.3">
      <c r="A8" s="9" t="s">
        <v>373</v>
      </c>
      <c r="B8" s="48">
        <v>89</v>
      </c>
      <c r="C8" s="2">
        <f>COUNTIF(Worksheet!A:A, A8)</f>
        <v>9</v>
      </c>
    </row>
    <row r="9" spans="1:8" x14ac:dyDescent="0.3">
      <c r="A9" s="9" t="s">
        <v>166</v>
      </c>
      <c r="B9" s="48">
        <v>85</v>
      </c>
      <c r="C9" s="2">
        <f>COUNTIF(Worksheet!A:A, A9)</f>
        <v>5</v>
      </c>
      <c r="F9" s="38" t="s">
        <v>618</v>
      </c>
      <c r="G9" s="39"/>
      <c r="H9" s="40"/>
    </row>
    <row r="10" spans="1:8" x14ac:dyDescent="0.3">
      <c r="A10" s="9" t="s">
        <v>111</v>
      </c>
      <c r="B10" s="48">
        <v>84</v>
      </c>
      <c r="C10" s="2">
        <f>COUNTIF(Worksheet!A:A, A10)</f>
        <v>4</v>
      </c>
      <c r="F10" s="41"/>
      <c r="G10" s="42"/>
      <c r="H10" s="43"/>
    </row>
    <row r="11" spans="1:8" x14ac:dyDescent="0.3">
      <c r="A11" s="9" t="s">
        <v>255</v>
      </c>
      <c r="B11" s="48">
        <v>84</v>
      </c>
      <c r="C11" s="2">
        <f>COUNTIF(Worksheet!A:A, A11)</f>
        <v>6</v>
      </c>
      <c r="F11" s="41"/>
      <c r="G11" s="42"/>
      <c r="H11" s="43"/>
    </row>
    <row r="12" spans="1:8" x14ac:dyDescent="0.3">
      <c r="A12" s="9" t="s">
        <v>15</v>
      </c>
      <c r="B12" s="48">
        <v>82</v>
      </c>
      <c r="C12" s="2">
        <f>COUNTIF(Worksheet!A:A, A12)</f>
        <v>1</v>
      </c>
      <c r="F12" s="41"/>
      <c r="G12" s="42"/>
      <c r="H12" s="43"/>
    </row>
    <row r="13" spans="1:8" x14ac:dyDescent="0.3">
      <c r="A13" s="9" t="s">
        <v>180</v>
      </c>
      <c r="B13" s="48">
        <v>80</v>
      </c>
      <c r="C13" s="2">
        <f>COUNTIF(Worksheet!A:A, A13)</f>
        <v>5</v>
      </c>
      <c r="F13" s="44"/>
      <c r="G13" s="45"/>
      <c r="H13" s="46"/>
    </row>
    <row r="14" spans="1:8" x14ac:dyDescent="0.3">
      <c r="A14" s="9" t="s">
        <v>48</v>
      </c>
      <c r="B14" s="48">
        <v>80</v>
      </c>
      <c r="C14" s="2">
        <f>COUNTIF(Worksheet!A:A, A14)</f>
        <v>2</v>
      </c>
    </row>
    <row r="15" spans="1:8" x14ac:dyDescent="0.3">
      <c r="A15" s="9" t="s">
        <v>90</v>
      </c>
      <c r="B15" s="48">
        <v>71</v>
      </c>
      <c r="C15" s="2">
        <f>COUNTIF(Worksheet!A:A, A15)</f>
        <v>3</v>
      </c>
    </row>
    <row r="16" spans="1:8" x14ac:dyDescent="0.3">
      <c r="A16" s="9" t="s">
        <v>228</v>
      </c>
      <c r="B16" s="48">
        <v>70</v>
      </c>
      <c r="C16" s="2">
        <f>COUNTIF(Worksheet!A:A, A16)</f>
        <v>5</v>
      </c>
    </row>
    <row r="17" spans="1:3" x14ac:dyDescent="0.3">
      <c r="A17" s="9" t="s">
        <v>94</v>
      </c>
      <c r="B17" s="48">
        <v>69</v>
      </c>
      <c r="C17" s="2">
        <f>COUNTIF(Worksheet!A:A, A17)</f>
        <v>3</v>
      </c>
    </row>
    <row r="18" spans="1:3" x14ac:dyDescent="0.3">
      <c r="A18" s="9" t="s">
        <v>274</v>
      </c>
      <c r="B18" s="48">
        <v>65</v>
      </c>
      <c r="C18" s="2">
        <f>COUNTIF(Worksheet!A:A, A18)</f>
        <v>5</v>
      </c>
    </row>
    <row r="19" spans="1:3" x14ac:dyDescent="0.3">
      <c r="A19" s="9" t="s">
        <v>196</v>
      </c>
      <c r="B19" s="48">
        <v>63</v>
      </c>
      <c r="C19" s="2">
        <f>COUNTIF(Worksheet!A:A, A19)</f>
        <v>4</v>
      </c>
    </row>
    <row r="20" spans="1:3" x14ac:dyDescent="0.3">
      <c r="A20" s="9" t="s">
        <v>392</v>
      </c>
      <c r="B20" s="48">
        <v>63</v>
      </c>
      <c r="C20" s="2">
        <f>COUNTIF(Worksheet!A:A, A20)</f>
        <v>7</v>
      </c>
    </row>
    <row r="21" spans="1:3" x14ac:dyDescent="0.3">
      <c r="A21" s="9" t="s">
        <v>69</v>
      </c>
      <c r="B21" s="48">
        <v>56</v>
      </c>
      <c r="C21" s="2">
        <f>COUNTIF(Worksheet!A:A, A21)</f>
        <v>2</v>
      </c>
    </row>
    <row r="22" spans="1:3" x14ac:dyDescent="0.3">
      <c r="A22" s="9" t="s">
        <v>73</v>
      </c>
      <c r="B22" s="48">
        <v>56</v>
      </c>
      <c r="C22" s="2">
        <f>COUNTIF(Worksheet!A:A, A22)</f>
        <v>2</v>
      </c>
    </row>
    <row r="23" spans="1:3" x14ac:dyDescent="0.3">
      <c r="A23" s="9" t="s">
        <v>17</v>
      </c>
      <c r="B23" s="48">
        <v>54</v>
      </c>
      <c r="C23" s="2">
        <f>COUNTIF(Worksheet!A:A, A23)</f>
        <v>1</v>
      </c>
    </row>
    <row r="24" spans="1:3" x14ac:dyDescent="0.3">
      <c r="A24" s="9" t="s">
        <v>19</v>
      </c>
      <c r="B24" s="48">
        <v>53</v>
      </c>
      <c r="C24" s="2">
        <f>COUNTIF(Worksheet!A:A, A24)</f>
        <v>1</v>
      </c>
    </row>
    <row r="25" spans="1:3" x14ac:dyDescent="0.3">
      <c r="A25" s="9" t="s">
        <v>22</v>
      </c>
      <c r="B25" s="48">
        <v>52</v>
      </c>
      <c r="C25" s="2">
        <f>COUNTIF(Worksheet!A:A, A25)</f>
        <v>1</v>
      </c>
    </row>
    <row r="26" spans="1:3" x14ac:dyDescent="0.3">
      <c r="A26" s="9" t="s">
        <v>80</v>
      </c>
      <c r="B26" s="48">
        <v>52</v>
      </c>
      <c r="C26" s="2">
        <f>COUNTIF(Worksheet!A:A, A26)</f>
        <v>2</v>
      </c>
    </row>
    <row r="27" spans="1:3" x14ac:dyDescent="0.3">
      <c r="A27" s="9" t="s">
        <v>174</v>
      </c>
      <c r="B27" s="48">
        <v>51</v>
      </c>
      <c r="C27" s="2">
        <f>COUNTIF(Worksheet!A:A, A27)</f>
        <v>3</v>
      </c>
    </row>
    <row r="28" spans="1:3" x14ac:dyDescent="0.3">
      <c r="A28" s="9" t="s">
        <v>435</v>
      </c>
      <c r="B28" s="48">
        <v>48</v>
      </c>
      <c r="C28" s="2">
        <f>COUNTIF(Worksheet!A:A, A28)</f>
        <v>6</v>
      </c>
    </row>
    <row r="29" spans="1:3" x14ac:dyDescent="0.3">
      <c r="A29" s="9" t="s">
        <v>192</v>
      </c>
      <c r="B29" s="48">
        <v>48</v>
      </c>
      <c r="C29" s="2">
        <f>COUNTIF(Worksheet!A:A, A29)</f>
        <v>3</v>
      </c>
    </row>
    <row r="30" spans="1:3" x14ac:dyDescent="0.3">
      <c r="A30" s="9" t="s">
        <v>31</v>
      </c>
      <c r="B30" s="48">
        <v>46</v>
      </c>
      <c r="C30" s="2">
        <f>COUNTIF(Worksheet!A:A, A30)</f>
        <v>1</v>
      </c>
    </row>
    <row r="31" spans="1:3" x14ac:dyDescent="0.3">
      <c r="A31" s="9" t="s">
        <v>24</v>
      </c>
      <c r="B31" s="48">
        <v>46</v>
      </c>
      <c r="C31" s="2">
        <f>COUNTIF(Worksheet!A:A, A31)</f>
        <v>1</v>
      </c>
    </row>
    <row r="32" spans="1:3" x14ac:dyDescent="0.3">
      <c r="A32" s="9" t="s">
        <v>27</v>
      </c>
      <c r="B32" s="48">
        <v>46</v>
      </c>
      <c r="C32" s="2">
        <f>COUNTIF(Worksheet!A:A, A32)</f>
        <v>1</v>
      </c>
    </row>
    <row r="33" spans="1:3" x14ac:dyDescent="0.3">
      <c r="A33" s="9" t="s">
        <v>39</v>
      </c>
      <c r="B33" s="48">
        <v>46</v>
      </c>
      <c r="C33" s="2">
        <f>COUNTIF(Worksheet!A:A, A33)</f>
        <v>1</v>
      </c>
    </row>
    <row r="34" spans="1:3" x14ac:dyDescent="0.3">
      <c r="A34" s="9" t="s">
        <v>37</v>
      </c>
      <c r="B34" s="48">
        <v>46</v>
      </c>
      <c r="C34" s="2">
        <f>COUNTIF(Worksheet!A:A, A34)</f>
        <v>1</v>
      </c>
    </row>
    <row r="35" spans="1:3" x14ac:dyDescent="0.3">
      <c r="A35" s="9" t="s">
        <v>33</v>
      </c>
      <c r="B35" s="48">
        <v>46</v>
      </c>
      <c r="C35" s="2">
        <f>COUNTIF(Worksheet!A:A, A35)</f>
        <v>1</v>
      </c>
    </row>
    <row r="36" spans="1:3" x14ac:dyDescent="0.3">
      <c r="A36" s="9" t="s">
        <v>35</v>
      </c>
      <c r="B36" s="48">
        <v>46</v>
      </c>
      <c r="C36" s="2">
        <f>COUNTIF(Worksheet!A:A, A36)</f>
        <v>1</v>
      </c>
    </row>
    <row r="37" spans="1:3" x14ac:dyDescent="0.3">
      <c r="A37" s="9" t="s">
        <v>25</v>
      </c>
      <c r="B37" s="48">
        <v>46</v>
      </c>
      <c r="C37" s="2">
        <f>COUNTIF(Worksheet!A:A, A37)</f>
        <v>1</v>
      </c>
    </row>
    <row r="38" spans="1:3" x14ac:dyDescent="0.3">
      <c r="A38" s="9" t="s">
        <v>198</v>
      </c>
      <c r="B38" s="48">
        <v>45</v>
      </c>
      <c r="C38" s="2">
        <f>COUNTIF(Worksheet!A:A, A38)</f>
        <v>3</v>
      </c>
    </row>
    <row r="39" spans="1:3" x14ac:dyDescent="0.3">
      <c r="A39" s="9" t="s">
        <v>101</v>
      </c>
      <c r="B39" s="48">
        <v>44</v>
      </c>
      <c r="C39" s="2">
        <f>COUNTIF(Worksheet!A:A, A39)</f>
        <v>2</v>
      </c>
    </row>
    <row r="40" spans="1:3" x14ac:dyDescent="0.3">
      <c r="A40" s="9" t="s">
        <v>41</v>
      </c>
      <c r="B40" s="48">
        <v>42</v>
      </c>
      <c r="C40" s="2">
        <f>COUNTIF(Worksheet!A:A, A40)</f>
        <v>1</v>
      </c>
    </row>
    <row r="41" spans="1:3" x14ac:dyDescent="0.3">
      <c r="A41" s="9" t="s">
        <v>43</v>
      </c>
      <c r="B41" s="48">
        <v>40</v>
      </c>
      <c r="C41" s="2">
        <f>COUNTIF(Worksheet!A:A, A41)</f>
        <v>1</v>
      </c>
    </row>
    <row r="42" spans="1:3" x14ac:dyDescent="0.3">
      <c r="A42" s="9" t="s">
        <v>432</v>
      </c>
      <c r="B42" s="48">
        <v>40</v>
      </c>
      <c r="C42" s="2">
        <f>COUNTIF(Worksheet!A:A, A42)</f>
        <v>5</v>
      </c>
    </row>
    <row r="43" spans="1:3" x14ac:dyDescent="0.3">
      <c r="A43" s="9" t="s">
        <v>44</v>
      </c>
      <c r="B43" s="48">
        <v>40</v>
      </c>
      <c r="C43" s="2">
        <f>COUNTIF(Worksheet!A:A, A43)</f>
        <v>1</v>
      </c>
    </row>
    <row r="44" spans="1:3" x14ac:dyDescent="0.3">
      <c r="A44" s="9" t="s">
        <v>46</v>
      </c>
      <c r="B44" s="48">
        <v>40</v>
      </c>
      <c r="C44" s="2">
        <f>COUNTIF(Worksheet!A:A, A44)</f>
        <v>1</v>
      </c>
    </row>
    <row r="45" spans="1:3" x14ac:dyDescent="0.3">
      <c r="A45" s="9" t="s">
        <v>124</v>
      </c>
      <c r="B45" s="48">
        <v>40</v>
      </c>
      <c r="C45" s="2">
        <f>COUNTIF(Worksheet!A:A, A45)</f>
        <v>2</v>
      </c>
    </row>
    <row r="46" spans="1:3" x14ac:dyDescent="0.3">
      <c r="A46" s="9" t="s">
        <v>117</v>
      </c>
      <c r="B46" s="48">
        <v>40</v>
      </c>
      <c r="C46" s="2">
        <f>COUNTIF(Worksheet!A:A, A46)</f>
        <v>2</v>
      </c>
    </row>
    <row r="47" spans="1:3" x14ac:dyDescent="0.3">
      <c r="A47" s="9" t="s">
        <v>133</v>
      </c>
      <c r="B47" s="48">
        <v>40</v>
      </c>
      <c r="C47" s="2">
        <f>COUNTIF(Worksheet!A:A, A47)</f>
        <v>2</v>
      </c>
    </row>
    <row r="48" spans="1:3" x14ac:dyDescent="0.3">
      <c r="A48" s="9" t="s">
        <v>270</v>
      </c>
      <c r="B48" s="48">
        <v>39</v>
      </c>
      <c r="C48" s="2">
        <f>COUNTIF(Worksheet!A:A, A48)</f>
        <v>3</v>
      </c>
    </row>
    <row r="49" spans="1:3" x14ac:dyDescent="0.3">
      <c r="A49" s="9" t="s">
        <v>50</v>
      </c>
      <c r="B49" s="48">
        <v>39</v>
      </c>
      <c r="C49" s="2">
        <f>COUNTIF(Worksheet!A:A, A49)</f>
        <v>1</v>
      </c>
    </row>
    <row r="50" spans="1:3" x14ac:dyDescent="0.3">
      <c r="A50" s="9" t="s">
        <v>309</v>
      </c>
      <c r="B50" s="48">
        <v>36</v>
      </c>
      <c r="C50" s="2">
        <f>COUNTIF(Worksheet!A:A, A50)</f>
        <v>3</v>
      </c>
    </row>
    <row r="51" spans="1:3" x14ac:dyDescent="0.3">
      <c r="A51" s="9" t="s">
        <v>303</v>
      </c>
      <c r="B51" s="48">
        <v>36</v>
      </c>
      <c r="C51" s="2">
        <f>COUNTIF(Worksheet!A:A, A51)</f>
        <v>3</v>
      </c>
    </row>
    <row r="52" spans="1:3" x14ac:dyDescent="0.3">
      <c r="A52" s="9" t="s">
        <v>52</v>
      </c>
      <c r="B52" s="48">
        <v>36</v>
      </c>
      <c r="C52" s="2">
        <f>COUNTIF(Worksheet!A:A, A52)</f>
        <v>1</v>
      </c>
    </row>
    <row r="53" spans="1:3" x14ac:dyDescent="0.3">
      <c r="A53" s="9" t="s">
        <v>149</v>
      </c>
      <c r="B53" s="48">
        <v>36</v>
      </c>
      <c r="C53" s="2">
        <f>COUNTIF(Worksheet!A:A, A53)</f>
        <v>2</v>
      </c>
    </row>
    <row r="54" spans="1:3" x14ac:dyDescent="0.3">
      <c r="A54" s="9" t="s">
        <v>307</v>
      </c>
      <c r="B54" s="48">
        <v>36</v>
      </c>
      <c r="C54" s="2">
        <f>COUNTIF(Worksheet!A:A, A54)</f>
        <v>3</v>
      </c>
    </row>
    <row r="55" spans="1:3" x14ac:dyDescent="0.3">
      <c r="A55" s="9" t="s">
        <v>153</v>
      </c>
      <c r="B55" s="48">
        <v>36</v>
      </c>
      <c r="C55" s="2">
        <f>COUNTIF(Worksheet!A:A, A55)</f>
        <v>2</v>
      </c>
    </row>
    <row r="56" spans="1:3" x14ac:dyDescent="0.3">
      <c r="A56" s="9" t="s">
        <v>145</v>
      </c>
      <c r="B56" s="48">
        <v>36</v>
      </c>
      <c r="C56" s="2">
        <f>COUNTIF(Worksheet!A:A, A56)</f>
        <v>2</v>
      </c>
    </row>
    <row r="57" spans="1:3" x14ac:dyDescent="0.3">
      <c r="A57" s="9" t="s">
        <v>538</v>
      </c>
      <c r="B57" s="48">
        <v>35</v>
      </c>
      <c r="C57" s="2">
        <f>COUNTIF(Worksheet!A:A, A57)</f>
        <v>7</v>
      </c>
    </row>
    <row r="58" spans="1:3" x14ac:dyDescent="0.3">
      <c r="A58" s="9" t="s">
        <v>162</v>
      </c>
      <c r="B58" s="48">
        <v>34</v>
      </c>
      <c r="C58" s="2">
        <f>COUNTIF(Worksheet!A:A, A58)</f>
        <v>2</v>
      </c>
    </row>
    <row r="59" spans="1:3" x14ac:dyDescent="0.3">
      <c r="A59" s="9" t="s">
        <v>337</v>
      </c>
      <c r="B59" s="48">
        <v>33</v>
      </c>
      <c r="C59" s="2">
        <f>COUNTIF(Worksheet!A:A, A59)</f>
        <v>3</v>
      </c>
    </row>
    <row r="60" spans="1:3" x14ac:dyDescent="0.3">
      <c r="A60" s="9" t="s">
        <v>54</v>
      </c>
      <c r="B60" s="48">
        <v>32</v>
      </c>
      <c r="C60" s="2">
        <f>COUNTIF(Worksheet!A:A, A60)</f>
        <v>1</v>
      </c>
    </row>
    <row r="61" spans="1:3" x14ac:dyDescent="0.3">
      <c r="A61" s="9" t="s">
        <v>56</v>
      </c>
      <c r="B61" s="48">
        <v>32</v>
      </c>
      <c r="C61" s="2">
        <f>COUNTIF(Worksheet!A:A, A61)</f>
        <v>1</v>
      </c>
    </row>
    <row r="62" spans="1:3" x14ac:dyDescent="0.3">
      <c r="A62" s="9" t="s">
        <v>431</v>
      </c>
      <c r="B62" s="48">
        <v>32</v>
      </c>
      <c r="C62" s="2">
        <f>COUNTIF(Worksheet!A:A, A62)</f>
        <v>4</v>
      </c>
    </row>
    <row r="63" spans="1:3" x14ac:dyDescent="0.3">
      <c r="A63" s="9" t="s">
        <v>184</v>
      </c>
      <c r="B63" s="48">
        <v>32</v>
      </c>
      <c r="C63" s="2">
        <f>COUNTIF(Worksheet!A:A, A63)</f>
        <v>2</v>
      </c>
    </row>
    <row r="64" spans="1:3" x14ac:dyDescent="0.3">
      <c r="A64" s="9" t="s">
        <v>62</v>
      </c>
      <c r="B64" s="48">
        <v>30</v>
      </c>
      <c r="C64" s="2">
        <f>COUNTIF(Worksheet!A:A, A64)</f>
        <v>1</v>
      </c>
    </row>
    <row r="65" spans="1:3" x14ac:dyDescent="0.3">
      <c r="A65" s="9" t="s">
        <v>60</v>
      </c>
      <c r="B65" s="48">
        <v>30</v>
      </c>
      <c r="C65" s="2">
        <f>COUNTIF(Worksheet!A:A, A65)</f>
        <v>1</v>
      </c>
    </row>
    <row r="66" spans="1:3" x14ac:dyDescent="0.3">
      <c r="A66" s="9" t="s">
        <v>222</v>
      </c>
      <c r="B66" s="48">
        <v>30</v>
      </c>
      <c r="C66" s="2">
        <f>COUNTIF(Worksheet!A:A, A66)</f>
        <v>2</v>
      </c>
    </row>
    <row r="67" spans="1:3" x14ac:dyDescent="0.3">
      <c r="A67" s="9" t="s">
        <v>64</v>
      </c>
      <c r="B67" s="48">
        <v>30</v>
      </c>
      <c r="C67" s="2">
        <f>COUNTIF(Worksheet!A:A, A67)</f>
        <v>1</v>
      </c>
    </row>
    <row r="68" spans="1:3" x14ac:dyDescent="0.3">
      <c r="A68" s="9" t="s">
        <v>58</v>
      </c>
      <c r="B68" s="48">
        <v>30</v>
      </c>
      <c r="C68" s="2">
        <f>COUNTIF(Worksheet!A:A, A68)</f>
        <v>1</v>
      </c>
    </row>
    <row r="69" spans="1:3" x14ac:dyDescent="0.3">
      <c r="A69" s="9" t="s">
        <v>66</v>
      </c>
      <c r="B69" s="48">
        <v>30</v>
      </c>
      <c r="C69" s="2">
        <f>COUNTIF(Worksheet!A:A, A69)</f>
        <v>1</v>
      </c>
    </row>
    <row r="70" spans="1:3" x14ac:dyDescent="0.3">
      <c r="A70" s="9" t="s">
        <v>496</v>
      </c>
      <c r="B70" s="48">
        <v>30</v>
      </c>
      <c r="C70" s="2">
        <f>COUNTIF(Worksheet!A:A, A70)</f>
        <v>5</v>
      </c>
    </row>
    <row r="71" spans="1:3" x14ac:dyDescent="0.3">
      <c r="A71" s="9" t="s">
        <v>200</v>
      </c>
      <c r="B71" s="48">
        <v>30</v>
      </c>
      <c r="C71" s="2">
        <f>COUNTIF(Worksheet!A:A, A71)</f>
        <v>2</v>
      </c>
    </row>
    <row r="72" spans="1:3" x14ac:dyDescent="0.3">
      <c r="A72" s="9" t="s">
        <v>68</v>
      </c>
      <c r="B72" s="48">
        <v>28</v>
      </c>
      <c r="C72" s="2">
        <f>COUNTIF(Worksheet!A:A, A72)</f>
        <v>1</v>
      </c>
    </row>
    <row r="73" spans="1:3" x14ac:dyDescent="0.3">
      <c r="A73" s="9" t="s">
        <v>251</v>
      </c>
      <c r="B73" s="48">
        <v>28</v>
      </c>
      <c r="C73" s="2">
        <f>COUNTIF(Worksheet!A:A, A73)</f>
        <v>2</v>
      </c>
    </row>
    <row r="74" spans="1:3" x14ac:dyDescent="0.3">
      <c r="A74" s="9" t="s">
        <v>241</v>
      </c>
      <c r="B74" s="48">
        <v>28</v>
      </c>
      <c r="C74" s="2">
        <f>COUNTIF(Worksheet!A:A, A74)</f>
        <v>2</v>
      </c>
    </row>
    <row r="75" spans="1:3" x14ac:dyDescent="0.3">
      <c r="A75" s="9" t="s">
        <v>71</v>
      </c>
      <c r="B75" s="48">
        <v>28</v>
      </c>
      <c r="C75" s="2">
        <f>COUNTIF(Worksheet!A:A, A75)</f>
        <v>1</v>
      </c>
    </row>
    <row r="76" spans="1:3" x14ac:dyDescent="0.3">
      <c r="A76" s="9" t="s">
        <v>460</v>
      </c>
      <c r="B76" s="48">
        <v>28</v>
      </c>
      <c r="C76" s="2">
        <f>COUNTIF(Worksheet!A:A, A76)</f>
        <v>4</v>
      </c>
    </row>
    <row r="77" spans="1:3" x14ac:dyDescent="0.3">
      <c r="A77" s="9" t="s">
        <v>224</v>
      </c>
      <c r="B77" s="48">
        <v>28</v>
      </c>
      <c r="C77" s="2">
        <f>COUNTIF(Worksheet!A:A, A77)</f>
        <v>2</v>
      </c>
    </row>
    <row r="78" spans="1:3" x14ac:dyDescent="0.3">
      <c r="A78" s="9" t="s">
        <v>232</v>
      </c>
      <c r="B78" s="48">
        <v>28</v>
      </c>
      <c r="C78" s="2">
        <f>COUNTIF(Worksheet!A:A, A78)</f>
        <v>2</v>
      </c>
    </row>
    <row r="79" spans="1:3" x14ac:dyDescent="0.3">
      <c r="A79" s="9" t="s">
        <v>79</v>
      </c>
      <c r="B79" s="48">
        <v>27</v>
      </c>
      <c r="C79" s="2">
        <f>COUNTIF(Worksheet!A:A, A79)</f>
        <v>1</v>
      </c>
    </row>
    <row r="80" spans="1:3" x14ac:dyDescent="0.3">
      <c r="A80" s="9" t="s">
        <v>77</v>
      </c>
      <c r="B80" s="48">
        <v>27</v>
      </c>
      <c r="C80" s="2">
        <f>COUNTIF(Worksheet!A:A, A80)</f>
        <v>1</v>
      </c>
    </row>
    <row r="81" spans="1:3" x14ac:dyDescent="0.3">
      <c r="A81" s="9" t="s">
        <v>75</v>
      </c>
      <c r="B81" s="48">
        <v>27</v>
      </c>
      <c r="C81" s="2">
        <f>COUNTIF(Worksheet!A:A, A81)</f>
        <v>1</v>
      </c>
    </row>
    <row r="82" spans="1:3" x14ac:dyDescent="0.3">
      <c r="A82" s="9" t="s">
        <v>264</v>
      </c>
      <c r="B82" s="48">
        <v>26</v>
      </c>
      <c r="C82" s="2">
        <f>COUNTIF(Worksheet!A:A, A82)</f>
        <v>2</v>
      </c>
    </row>
    <row r="83" spans="1:3" x14ac:dyDescent="0.3">
      <c r="A83" s="9" t="s">
        <v>477</v>
      </c>
      <c r="B83" s="48">
        <v>26</v>
      </c>
      <c r="C83" s="2">
        <f>COUNTIF(Worksheet!A:A, A83)</f>
        <v>4</v>
      </c>
    </row>
    <row r="84" spans="1:3" x14ac:dyDescent="0.3">
      <c r="A84" s="9" t="s">
        <v>82</v>
      </c>
      <c r="B84" s="48">
        <v>25</v>
      </c>
      <c r="C84" s="2">
        <f>COUNTIF(Worksheet!A:A, A84)</f>
        <v>1</v>
      </c>
    </row>
    <row r="85" spans="1:3" x14ac:dyDescent="0.3">
      <c r="A85" s="9" t="s">
        <v>88</v>
      </c>
      <c r="B85" s="48">
        <v>24</v>
      </c>
      <c r="C85" s="2">
        <f>COUNTIF(Worksheet!A:A, A85)</f>
        <v>1</v>
      </c>
    </row>
    <row r="86" spans="1:3" x14ac:dyDescent="0.3">
      <c r="A86" s="9" t="s">
        <v>86</v>
      </c>
      <c r="B86" s="48">
        <v>24</v>
      </c>
      <c r="C86" s="2">
        <f>COUNTIF(Worksheet!A:A, A86)</f>
        <v>1</v>
      </c>
    </row>
    <row r="87" spans="1:3" x14ac:dyDescent="0.3">
      <c r="A87" s="9" t="s">
        <v>449</v>
      </c>
      <c r="B87" s="48">
        <v>24</v>
      </c>
      <c r="C87" s="2">
        <f>COUNTIF(Worksheet!A:A, A87)</f>
        <v>3</v>
      </c>
    </row>
    <row r="88" spans="1:3" x14ac:dyDescent="0.3">
      <c r="A88" s="9" t="s">
        <v>425</v>
      </c>
      <c r="B88" s="48">
        <v>24</v>
      </c>
      <c r="C88" s="2">
        <f>COUNTIF(Worksheet!A:A, A88)</f>
        <v>3</v>
      </c>
    </row>
    <row r="89" spans="1:3" x14ac:dyDescent="0.3">
      <c r="A89" s="9" t="s">
        <v>84</v>
      </c>
      <c r="B89" s="48">
        <v>24</v>
      </c>
      <c r="C89" s="2">
        <f>COUNTIF(Worksheet!A:A, A89)</f>
        <v>1</v>
      </c>
    </row>
    <row r="90" spans="1:3" x14ac:dyDescent="0.3">
      <c r="A90" s="9" t="s">
        <v>295</v>
      </c>
      <c r="B90" s="48">
        <v>24</v>
      </c>
      <c r="C90" s="2">
        <f>COUNTIF(Worksheet!A:A, A90)</f>
        <v>2</v>
      </c>
    </row>
    <row r="91" spans="1:3" x14ac:dyDescent="0.3">
      <c r="A91" s="9" t="s">
        <v>92</v>
      </c>
      <c r="B91" s="48">
        <v>23</v>
      </c>
      <c r="C91" s="2">
        <f>COUNTIF(Worksheet!A:A, A91)</f>
        <v>1</v>
      </c>
    </row>
    <row r="92" spans="1:3" x14ac:dyDescent="0.3">
      <c r="A92" s="9" t="s">
        <v>340</v>
      </c>
      <c r="B92" s="48">
        <v>22</v>
      </c>
      <c r="C92" s="2">
        <f>COUNTIF(Worksheet!A:A, A92)</f>
        <v>2</v>
      </c>
    </row>
    <row r="93" spans="1:3" x14ac:dyDescent="0.3">
      <c r="A93" s="9" t="s">
        <v>98</v>
      </c>
      <c r="B93" s="48">
        <v>22</v>
      </c>
      <c r="C93" s="2">
        <f>COUNTIF(Worksheet!A:A, A93)</f>
        <v>1</v>
      </c>
    </row>
    <row r="94" spans="1:3" x14ac:dyDescent="0.3">
      <c r="A94" s="9" t="s">
        <v>103</v>
      </c>
      <c r="B94" s="48">
        <v>22</v>
      </c>
      <c r="C94" s="2">
        <f>COUNTIF(Worksheet!A:A, A94)</f>
        <v>1</v>
      </c>
    </row>
    <row r="95" spans="1:3" x14ac:dyDescent="0.3">
      <c r="A95" s="9" t="s">
        <v>346</v>
      </c>
      <c r="B95" s="48">
        <v>22</v>
      </c>
      <c r="C95" s="2">
        <f>COUNTIF(Worksheet!A:A, A95)</f>
        <v>2</v>
      </c>
    </row>
    <row r="96" spans="1:3" x14ac:dyDescent="0.3">
      <c r="A96" s="9" t="s">
        <v>100</v>
      </c>
      <c r="B96" s="48">
        <v>22</v>
      </c>
      <c r="C96" s="2">
        <f>COUNTIF(Worksheet!A:A, A96)</f>
        <v>1</v>
      </c>
    </row>
    <row r="97" spans="1:3" x14ac:dyDescent="0.3">
      <c r="A97" s="9" t="s">
        <v>96</v>
      </c>
      <c r="B97" s="48">
        <v>22</v>
      </c>
      <c r="C97" s="2">
        <f>COUNTIF(Worksheet!A:A, A97)</f>
        <v>1</v>
      </c>
    </row>
    <row r="98" spans="1:3" x14ac:dyDescent="0.3">
      <c r="A98" s="9" t="s">
        <v>332</v>
      </c>
      <c r="B98" s="48">
        <v>22</v>
      </c>
      <c r="C98" s="2">
        <f>COUNTIF(Worksheet!A:A, A98)</f>
        <v>2</v>
      </c>
    </row>
    <row r="99" spans="1:3" x14ac:dyDescent="0.3">
      <c r="A99" s="9" t="s">
        <v>333</v>
      </c>
      <c r="B99" s="48">
        <v>22</v>
      </c>
      <c r="C99" s="2">
        <f>COUNTIF(Worksheet!A:A, A99)</f>
        <v>2</v>
      </c>
    </row>
    <row r="100" spans="1:3" x14ac:dyDescent="0.3">
      <c r="A100" s="9" t="s">
        <v>326</v>
      </c>
      <c r="B100" s="48">
        <v>22</v>
      </c>
      <c r="C100" s="2">
        <f>COUNTIF(Worksheet!A:A, A100)</f>
        <v>2</v>
      </c>
    </row>
    <row r="101" spans="1:3" x14ac:dyDescent="0.3">
      <c r="A101" s="9" t="s">
        <v>466</v>
      </c>
      <c r="B101" s="48">
        <v>21</v>
      </c>
      <c r="C101" s="2">
        <f>COUNTIF(Worksheet!A:A, A101)</f>
        <v>3</v>
      </c>
    </row>
    <row r="102" spans="1:3" x14ac:dyDescent="0.3">
      <c r="A102" s="9" t="s">
        <v>109</v>
      </c>
      <c r="B102" s="48">
        <v>21</v>
      </c>
      <c r="C102" s="2">
        <f>COUNTIF(Worksheet!A:A, A102)</f>
        <v>1</v>
      </c>
    </row>
    <row r="103" spans="1:3" x14ac:dyDescent="0.3">
      <c r="A103" s="9" t="s">
        <v>110</v>
      </c>
      <c r="B103" s="48">
        <v>21</v>
      </c>
      <c r="C103" s="2">
        <f>COUNTIF(Worksheet!A:A, A103)</f>
        <v>1</v>
      </c>
    </row>
    <row r="104" spans="1:3" x14ac:dyDescent="0.3">
      <c r="A104" s="9" t="s">
        <v>107</v>
      </c>
      <c r="B104" s="48">
        <v>21</v>
      </c>
      <c r="C104" s="2">
        <f>COUNTIF(Worksheet!A:A, A104)</f>
        <v>1</v>
      </c>
    </row>
    <row r="105" spans="1:3" x14ac:dyDescent="0.3">
      <c r="A105" s="9" t="s">
        <v>105</v>
      </c>
      <c r="B105" s="48">
        <v>21</v>
      </c>
      <c r="C105" s="2">
        <f>COUNTIF(Worksheet!A:A, A105)</f>
        <v>1</v>
      </c>
    </row>
    <row r="106" spans="1:3" x14ac:dyDescent="0.3">
      <c r="A106" s="9" t="s">
        <v>113</v>
      </c>
      <c r="B106" s="48">
        <v>21</v>
      </c>
      <c r="C106" s="2">
        <f>COUNTIF(Worksheet!A:A, A106)</f>
        <v>1</v>
      </c>
    </row>
    <row r="107" spans="1:3" x14ac:dyDescent="0.3">
      <c r="A107" s="9" t="s">
        <v>119</v>
      </c>
      <c r="B107" s="48">
        <v>20</v>
      </c>
      <c r="C107" s="2">
        <f>COUNTIF(Worksheet!A:A, A107)</f>
        <v>1</v>
      </c>
    </row>
    <row r="108" spans="1:3" x14ac:dyDescent="0.3">
      <c r="A108" s="9" t="s">
        <v>130</v>
      </c>
      <c r="B108" s="48">
        <v>20</v>
      </c>
      <c r="C108" s="2">
        <f>COUNTIF(Worksheet!A:A, A108)</f>
        <v>1</v>
      </c>
    </row>
    <row r="109" spans="1:3" x14ac:dyDescent="0.3">
      <c r="A109" s="9" t="s">
        <v>359</v>
      </c>
      <c r="B109" s="48">
        <v>20</v>
      </c>
      <c r="C109" s="2">
        <f>COUNTIF(Worksheet!A:A, A109)</f>
        <v>2</v>
      </c>
    </row>
    <row r="110" spans="1:3" x14ac:dyDescent="0.3">
      <c r="A110" s="9" t="s">
        <v>570</v>
      </c>
      <c r="B110" s="48">
        <v>20</v>
      </c>
      <c r="C110" s="2">
        <f>COUNTIF(Worksheet!A:A, A110)</f>
        <v>5</v>
      </c>
    </row>
    <row r="111" spans="1:3" x14ac:dyDescent="0.3">
      <c r="A111" s="9" t="s">
        <v>562</v>
      </c>
      <c r="B111" s="48">
        <v>20</v>
      </c>
      <c r="C111" s="2">
        <f>COUNTIF(Worksheet!A:A, A111)</f>
        <v>5</v>
      </c>
    </row>
    <row r="112" spans="1:3" x14ac:dyDescent="0.3">
      <c r="A112" s="9" t="s">
        <v>126</v>
      </c>
      <c r="B112" s="48">
        <v>20</v>
      </c>
      <c r="C112" s="2">
        <f>COUNTIF(Worksheet!A:A, A112)</f>
        <v>1</v>
      </c>
    </row>
    <row r="113" spans="1:3" x14ac:dyDescent="0.3">
      <c r="A113" s="9" t="s">
        <v>125</v>
      </c>
      <c r="B113" s="48">
        <v>20</v>
      </c>
      <c r="C113" s="2">
        <f>COUNTIF(Worksheet!A:A, A113)</f>
        <v>1</v>
      </c>
    </row>
    <row r="114" spans="1:3" x14ac:dyDescent="0.3">
      <c r="A114" s="9" t="s">
        <v>128</v>
      </c>
      <c r="B114" s="48">
        <v>20</v>
      </c>
      <c r="C114" s="2">
        <f>COUNTIF(Worksheet!A:A, A114)</f>
        <v>1</v>
      </c>
    </row>
    <row r="115" spans="1:3" x14ac:dyDescent="0.3">
      <c r="A115" s="9" t="s">
        <v>370</v>
      </c>
      <c r="B115" s="48">
        <v>20</v>
      </c>
      <c r="C115" s="2">
        <f>COUNTIF(Worksheet!A:A, A115)</f>
        <v>2</v>
      </c>
    </row>
    <row r="116" spans="1:3" x14ac:dyDescent="0.3">
      <c r="A116" s="9" t="s">
        <v>120</v>
      </c>
      <c r="B116" s="48">
        <v>20</v>
      </c>
      <c r="C116" s="2">
        <f>COUNTIF(Worksheet!A:A, A116)</f>
        <v>1</v>
      </c>
    </row>
    <row r="117" spans="1:3" x14ac:dyDescent="0.3">
      <c r="A117" s="9" t="s">
        <v>121</v>
      </c>
      <c r="B117" s="48">
        <v>20</v>
      </c>
      <c r="C117" s="2">
        <f>COUNTIF(Worksheet!A:A, A117)</f>
        <v>1</v>
      </c>
    </row>
    <row r="118" spans="1:3" x14ac:dyDescent="0.3">
      <c r="A118" s="9" t="s">
        <v>115</v>
      </c>
      <c r="B118" s="48">
        <v>20</v>
      </c>
      <c r="C118" s="2">
        <f>COUNTIF(Worksheet!A:A, A118)</f>
        <v>1</v>
      </c>
    </row>
    <row r="119" spans="1:3" x14ac:dyDescent="0.3">
      <c r="A119" s="9" t="s">
        <v>132</v>
      </c>
      <c r="B119" s="48">
        <v>20</v>
      </c>
      <c r="C119" s="2">
        <f>COUNTIF(Worksheet!A:A, A119)</f>
        <v>1</v>
      </c>
    </row>
    <row r="120" spans="1:3" x14ac:dyDescent="0.3">
      <c r="A120" s="9" t="s">
        <v>348</v>
      </c>
      <c r="B120" s="48">
        <v>20</v>
      </c>
      <c r="C120" s="2">
        <f>COUNTIF(Worksheet!A:A, A120)</f>
        <v>2</v>
      </c>
    </row>
    <row r="121" spans="1:3" x14ac:dyDescent="0.3">
      <c r="A121" s="9" t="s">
        <v>122</v>
      </c>
      <c r="B121" s="48">
        <v>20</v>
      </c>
      <c r="C121" s="2">
        <f>COUNTIF(Worksheet!A:A, A121)</f>
        <v>1</v>
      </c>
    </row>
    <row r="122" spans="1:3" x14ac:dyDescent="0.3">
      <c r="A122" s="9" t="s">
        <v>350</v>
      </c>
      <c r="B122" s="48">
        <v>20</v>
      </c>
      <c r="C122" s="2">
        <f>COUNTIF(Worksheet!A:A, A122)</f>
        <v>2</v>
      </c>
    </row>
    <row r="123" spans="1:3" x14ac:dyDescent="0.3">
      <c r="A123" s="9" t="s">
        <v>355</v>
      </c>
      <c r="B123" s="48">
        <v>20</v>
      </c>
      <c r="C123" s="2">
        <f>COUNTIF(Worksheet!A:A, A123)</f>
        <v>2</v>
      </c>
    </row>
    <row r="124" spans="1:3" x14ac:dyDescent="0.3">
      <c r="A124" s="9" t="s">
        <v>129</v>
      </c>
      <c r="B124" s="48">
        <v>20</v>
      </c>
      <c r="C124" s="2">
        <f>COUNTIF(Worksheet!A:A, A124)</f>
        <v>1</v>
      </c>
    </row>
    <row r="125" spans="1:3" x14ac:dyDescent="0.3">
      <c r="A125" s="9" t="s">
        <v>542</v>
      </c>
      <c r="B125" s="48">
        <v>20</v>
      </c>
      <c r="C125" s="2">
        <f>COUNTIF(Worksheet!A:A, A125)</f>
        <v>4</v>
      </c>
    </row>
    <row r="126" spans="1:3" x14ac:dyDescent="0.3">
      <c r="A126" s="9" t="s">
        <v>137</v>
      </c>
      <c r="B126" s="48">
        <v>19</v>
      </c>
      <c r="C126" s="2">
        <f>COUNTIF(Worksheet!A:A, A126)</f>
        <v>1</v>
      </c>
    </row>
    <row r="127" spans="1:3" x14ac:dyDescent="0.3">
      <c r="A127" s="9" t="s">
        <v>136</v>
      </c>
      <c r="B127" s="48">
        <v>19</v>
      </c>
      <c r="C127" s="2">
        <f>COUNTIF(Worksheet!A:A, A127)</f>
        <v>1</v>
      </c>
    </row>
    <row r="128" spans="1:3" x14ac:dyDescent="0.3">
      <c r="A128" s="9" t="s">
        <v>135</v>
      </c>
      <c r="B128" s="48">
        <v>19</v>
      </c>
      <c r="C128" s="2">
        <f>COUNTIF(Worksheet!A:A, A128)</f>
        <v>1</v>
      </c>
    </row>
    <row r="129" spans="1:3" x14ac:dyDescent="0.3">
      <c r="A129" s="9" t="s">
        <v>134</v>
      </c>
      <c r="B129" s="48">
        <v>19</v>
      </c>
      <c r="C129" s="2">
        <f>COUNTIF(Worksheet!A:A, A129)</f>
        <v>1</v>
      </c>
    </row>
    <row r="130" spans="1:3" x14ac:dyDescent="0.3">
      <c r="A130" s="9" t="s">
        <v>155</v>
      </c>
      <c r="B130" s="48">
        <v>18</v>
      </c>
      <c r="C130" s="2">
        <f>COUNTIF(Worksheet!A:A, A130)</f>
        <v>1</v>
      </c>
    </row>
    <row r="131" spans="1:3" x14ac:dyDescent="0.3">
      <c r="A131" s="9" t="s">
        <v>140</v>
      </c>
      <c r="B131" s="48">
        <v>18</v>
      </c>
      <c r="C131" s="2">
        <f>COUNTIF(Worksheet!A:A, A131)</f>
        <v>1</v>
      </c>
    </row>
    <row r="132" spans="1:3" x14ac:dyDescent="0.3">
      <c r="A132" s="9" t="s">
        <v>148</v>
      </c>
      <c r="B132" s="48">
        <v>18</v>
      </c>
      <c r="C132" s="2">
        <f>COUNTIF(Worksheet!A:A, A132)</f>
        <v>1</v>
      </c>
    </row>
    <row r="133" spans="1:3" x14ac:dyDescent="0.3">
      <c r="A133" s="9" t="s">
        <v>151</v>
      </c>
      <c r="B133" s="48">
        <v>18</v>
      </c>
      <c r="C133" s="2">
        <f>COUNTIF(Worksheet!A:A, A133)</f>
        <v>1</v>
      </c>
    </row>
    <row r="134" spans="1:3" x14ac:dyDescent="0.3">
      <c r="A134" s="9" t="s">
        <v>147</v>
      </c>
      <c r="B134" s="48">
        <v>18</v>
      </c>
      <c r="C134" s="2">
        <f>COUNTIF(Worksheet!A:A, A134)</f>
        <v>1</v>
      </c>
    </row>
    <row r="135" spans="1:3" x14ac:dyDescent="0.3">
      <c r="A135" s="9" t="s">
        <v>381</v>
      </c>
      <c r="B135" s="48">
        <v>18</v>
      </c>
      <c r="C135" s="2">
        <f>COUNTIF(Worksheet!A:A, A135)</f>
        <v>2</v>
      </c>
    </row>
    <row r="136" spans="1:3" x14ac:dyDescent="0.3">
      <c r="A136" s="9" t="s">
        <v>142</v>
      </c>
      <c r="B136" s="48">
        <v>18</v>
      </c>
      <c r="C136" s="2">
        <f>COUNTIF(Worksheet!A:A, A136)</f>
        <v>1</v>
      </c>
    </row>
    <row r="137" spans="1:3" x14ac:dyDescent="0.3">
      <c r="A137" s="9" t="s">
        <v>144</v>
      </c>
      <c r="B137" s="48">
        <v>18</v>
      </c>
      <c r="C137" s="2">
        <f>COUNTIF(Worksheet!A:A, A137)</f>
        <v>1</v>
      </c>
    </row>
    <row r="138" spans="1:3" x14ac:dyDescent="0.3">
      <c r="A138" s="9" t="s">
        <v>409</v>
      </c>
      <c r="B138" s="48">
        <v>18</v>
      </c>
      <c r="C138" s="2">
        <f>COUNTIF(Worksheet!A:A, A138)</f>
        <v>2</v>
      </c>
    </row>
    <row r="139" spans="1:3" x14ac:dyDescent="0.3">
      <c r="A139" s="9" t="s">
        <v>398</v>
      </c>
      <c r="B139" s="48">
        <v>18</v>
      </c>
      <c r="C139" s="2">
        <f>COUNTIF(Worksheet!A:A, A139)</f>
        <v>2</v>
      </c>
    </row>
    <row r="140" spans="1:3" x14ac:dyDescent="0.3">
      <c r="A140" s="9" t="s">
        <v>138</v>
      </c>
      <c r="B140" s="48">
        <v>18</v>
      </c>
      <c r="C140" s="2">
        <f>COUNTIF(Worksheet!A:A, A140)</f>
        <v>1</v>
      </c>
    </row>
    <row r="141" spans="1:3" x14ac:dyDescent="0.3">
      <c r="A141" s="9" t="s">
        <v>411</v>
      </c>
      <c r="B141" s="48">
        <v>17</v>
      </c>
      <c r="C141" s="2">
        <f>COUNTIF(Worksheet!A:A, A141)</f>
        <v>2</v>
      </c>
    </row>
    <row r="142" spans="1:3" x14ac:dyDescent="0.3">
      <c r="A142" s="9" t="s">
        <v>176</v>
      </c>
      <c r="B142" s="48">
        <v>17</v>
      </c>
      <c r="C142" s="2">
        <f>COUNTIF(Worksheet!A:A, A142)</f>
        <v>1</v>
      </c>
    </row>
    <row r="143" spans="1:3" x14ac:dyDescent="0.3">
      <c r="A143" s="9" t="s">
        <v>161</v>
      </c>
      <c r="B143" s="48">
        <v>17</v>
      </c>
      <c r="C143" s="2">
        <f>COUNTIF(Worksheet!A:A, A143)</f>
        <v>1</v>
      </c>
    </row>
    <row r="144" spans="1:3" x14ac:dyDescent="0.3">
      <c r="A144" s="9" t="s">
        <v>168</v>
      </c>
      <c r="B144" s="48">
        <v>17</v>
      </c>
      <c r="C144" s="2">
        <f>COUNTIF(Worksheet!A:A, A144)</f>
        <v>1</v>
      </c>
    </row>
    <row r="145" spans="1:3" x14ac:dyDescent="0.3">
      <c r="A145" s="9" t="s">
        <v>159</v>
      </c>
      <c r="B145" s="48">
        <v>17</v>
      </c>
      <c r="C145" s="2">
        <f>COUNTIF(Worksheet!A:A, A145)</f>
        <v>1</v>
      </c>
    </row>
    <row r="146" spans="1:3" x14ac:dyDescent="0.3">
      <c r="A146" s="9" t="s">
        <v>170</v>
      </c>
      <c r="B146" s="48">
        <v>17</v>
      </c>
      <c r="C146" s="2">
        <f>COUNTIF(Worksheet!A:A, A146)</f>
        <v>1</v>
      </c>
    </row>
    <row r="147" spans="1:3" x14ac:dyDescent="0.3">
      <c r="A147" s="9" t="s">
        <v>164</v>
      </c>
      <c r="B147" s="48">
        <v>17</v>
      </c>
      <c r="C147" s="2">
        <f>COUNTIF(Worksheet!A:A, A147)</f>
        <v>1</v>
      </c>
    </row>
    <row r="148" spans="1:3" x14ac:dyDescent="0.3">
      <c r="A148" s="9" t="s">
        <v>172</v>
      </c>
      <c r="B148" s="48">
        <v>17</v>
      </c>
      <c r="C148" s="2">
        <f>COUNTIF(Worksheet!A:A, A148)</f>
        <v>1</v>
      </c>
    </row>
    <row r="149" spans="1:3" x14ac:dyDescent="0.3">
      <c r="A149" s="9" t="s">
        <v>157</v>
      </c>
      <c r="B149" s="48">
        <v>17</v>
      </c>
      <c r="C149" s="2">
        <f>COUNTIF(Worksheet!A:A, A149)</f>
        <v>1</v>
      </c>
    </row>
    <row r="150" spans="1:3" x14ac:dyDescent="0.3">
      <c r="A150" s="9" t="s">
        <v>163</v>
      </c>
      <c r="B150" s="48">
        <v>17</v>
      </c>
      <c r="C150" s="2">
        <f>COUNTIF(Worksheet!A:A, A150)</f>
        <v>1</v>
      </c>
    </row>
    <row r="151" spans="1:3" x14ac:dyDescent="0.3">
      <c r="A151" s="9" t="s">
        <v>445</v>
      </c>
      <c r="B151" s="48">
        <v>16</v>
      </c>
      <c r="C151" s="2">
        <f>COUNTIF(Worksheet!A:A, A151)</f>
        <v>2</v>
      </c>
    </row>
    <row r="152" spans="1:3" x14ac:dyDescent="0.3">
      <c r="A152" s="9" t="s">
        <v>178</v>
      </c>
      <c r="B152" s="48">
        <v>16</v>
      </c>
      <c r="C152" s="2">
        <f>COUNTIF(Worksheet!A:A, A152)</f>
        <v>1</v>
      </c>
    </row>
    <row r="153" spans="1:3" x14ac:dyDescent="0.3">
      <c r="A153" s="9" t="s">
        <v>182</v>
      </c>
      <c r="B153" s="48">
        <v>16</v>
      </c>
      <c r="C153" s="2">
        <f>COUNTIF(Worksheet!A:A, A153)</f>
        <v>1</v>
      </c>
    </row>
    <row r="154" spans="1:3" x14ac:dyDescent="0.3">
      <c r="A154" s="9" t="s">
        <v>188</v>
      </c>
      <c r="B154" s="48">
        <v>16</v>
      </c>
      <c r="C154" s="2">
        <f>COUNTIF(Worksheet!A:A, A154)</f>
        <v>1</v>
      </c>
    </row>
    <row r="155" spans="1:3" x14ac:dyDescent="0.3">
      <c r="A155" s="9" t="s">
        <v>186</v>
      </c>
      <c r="B155" s="48">
        <v>16</v>
      </c>
      <c r="C155" s="2">
        <f>COUNTIF(Worksheet!A:A, A155)</f>
        <v>1</v>
      </c>
    </row>
    <row r="156" spans="1:3" x14ac:dyDescent="0.3">
      <c r="A156" s="9" t="s">
        <v>413</v>
      </c>
      <c r="B156" s="48">
        <v>16</v>
      </c>
      <c r="C156" s="2">
        <f>COUNTIF(Worksheet!A:A, A156)</f>
        <v>2</v>
      </c>
    </row>
    <row r="157" spans="1:3" x14ac:dyDescent="0.3">
      <c r="A157" s="9" t="s">
        <v>447</v>
      </c>
      <c r="B157" s="48">
        <v>16</v>
      </c>
      <c r="C157" s="2">
        <f>COUNTIF(Worksheet!A:A, A157)</f>
        <v>2</v>
      </c>
    </row>
    <row r="158" spans="1:3" x14ac:dyDescent="0.3">
      <c r="A158" s="9" t="s">
        <v>418</v>
      </c>
      <c r="B158" s="48">
        <v>16</v>
      </c>
      <c r="C158" s="2">
        <f>COUNTIF(Worksheet!A:A, A158)</f>
        <v>2</v>
      </c>
    </row>
    <row r="159" spans="1:3" x14ac:dyDescent="0.3">
      <c r="A159" s="9" t="s">
        <v>194</v>
      </c>
      <c r="B159" s="48">
        <v>16</v>
      </c>
      <c r="C159" s="2">
        <f>COUNTIF(Worksheet!A:A, A159)</f>
        <v>1</v>
      </c>
    </row>
    <row r="160" spans="1:3" x14ac:dyDescent="0.3">
      <c r="A160" s="9" t="s">
        <v>190</v>
      </c>
      <c r="B160" s="48">
        <v>16</v>
      </c>
      <c r="C160" s="2">
        <f>COUNTIF(Worksheet!A:A, A160)</f>
        <v>1</v>
      </c>
    </row>
    <row r="161" spans="1:3" x14ac:dyDescent="0.3">
      <c r="A161" s="9" t="s">
        <v>185</v>
      </c>
      <c r="B161" s="48">
        <v>16</v>
      </c>
      <c r="C161" s="2">
        <f>COUNTIF(Worksheet!A:A, A161)</f>
        <v>1</v>
      </c>
    </row>
    <row r="162" spans="1:3" x14ac:dyDescent="0.3">
      <c r="A162" s="9" t="s">
        <v>440</v>
      </c>
      <c r="B162" s="48">
        <v>16</v>
      </c>
      <c r="C162" s="2">
        <f>COUNTIF(Worksheet!A:A, A162)</f>
        <v>2</v>
      </c>
    </row>
    <row r="163" spans="1:3" x14ac:dyDescent="0.3">
      <c r="A163" s="9" t="s">
        <v>558</v>
      </c>
      <c r="B163" s="48">
        <v>16</v>
      </c>
      <c r="C163" s="2">
        <f>COUNTIF(Worksheet!A:A, A163)</f>
        <v>4</v>
      </c>
    </row>
    <row r="164" spans="1:3" x14ac:dyDescent="0.3">
      <c r="A164" s="9" t="s">
        <v>444</v>
      </c>
      <c r="B164" s="48">
        <v>16</v>
      </c>
      <c r="C164" s="2">
        <f>COUNTIF(Worksheet!A:A, A164)</f>
        <v>2</v>
      </c>
    </row>
    <row r="165" spans="1:3" x14ac:dyDescent="0.3">
      <c r="A165" s="9" t="s">
        <v>438</v>
      </c>
      <c r="B165" s="48">
        <v>16</v>
      </c>
      <c r="C165" s="2">
        <f>COUNTIF(Worksheet!A:A, A165)</f>
        <v>2</v>
      </c>
    </row>
    <row r="166" spans="1:3" x14ac:dyDescent="0.3">
      <c r="A166" s="9" t="s">
        <v>220</v>
      </c>
      <c r="B166" s="48">
        <v>15</v>
      </c>
      <c r="C166" s="2">
        <f>COUNTIF(Worksheet!A:A, A166)</f>
        <v>1</v>
      </c>
    </row>
    <row r="167" spans="1:3" x14ac:dyDescent="0.3">
      <c r="A167" s="9" t="s">
        <v>540</v>
      </c>
      <c r="B167" s="48">
        <v>15</v>
      </c>
      <c r="C167" s="2">
        <f>COUNTIF(Worksheet!A:A, A167)</f>
        <v>3</v>
      </c>
    </row>
    <row r="168" spans="1:3" x14ac:dyDescent="0.3">
      <c r="A168" s="9" t="s">
        <v>524</v>
      </c>
      <c r="B168" s="48">
        <v>15</v>
      </c>
      <c r="C168" s="2">
        <f>COUNTIF(Worksheet!A:A, A168)</f>
        <v>3</v>
      </c>
    </row>
    <row r="169" spans="1:3" x14ac:dyDescent="0.3">
      <c r="A169" s="9" t="s">
        <v>215</v>
      </c>
      <c r="B169" s="48">
        <v>15</v>
      </c>
      <c r="C169" s="2">
        <f>COUNTIF(Worksheet!A:A, A169)</f>
        <v>1</v>
      </c>
    </row>
    <row r="170" spans="1:3" x14ac:dyDescent="0.3">
      <c r="A170" s="9" t="s">
        <v>205</v>
      </c>
      <c r="B170" s="48">
        <v>15</v>
      </c>
      <c r="C170" s="2">
        <f>COUNTIF(Worksheet!A:A, A170)</f>
        <v>1</v>
      </c>
    </row>
    <row r="171" spans="1:3" x14ac:dyDescent="0.3">
      <c r="A171" s="9" t="s">
        <v>216</v>
      </c>
      <c r="B171" s="48">
        <v>15</v>
      </c>
      <c r="C171" s="2">
        <f>COUNTIF(Worksheet!A:A, A171)</f>
        <v>1</v>
      </c>
    </row>
    <row r="172" spans="1:3" x14ac:dyDescent="0.3">
      <c r="A172" s="9" t="s">
        <v>212</v>
      </c>
      <c r="B172" s="48">
        <v>15</v>
      </c>
      <c r="C172" s="2">
        <f>COUNTIF(Worksheet!A:A, A172)</f>
        <v>1</v>
      </c>
    </row>
    <row r="173" spans="1:3" x14ac:dyDescent="0.3">
      <c r="A173" s="9" t="s">
        <v>207</v>
      </c>
      <c r="B173" s="48">
        <v>15</v>
      </c>
      <c r="C173" s="2">
        <f>COUNTIF(Worksheet!A:A, A173)</f>
        <v>1</v>
      </c>
    </row>
    <row r="174" spans="1:3" x14ac:dyDescent="0.3">
      <c r="A174" s="9" t="s">
        <v>202</v>
      </c>
      <c r="B174" s="48">
        <v>15</v>
      </c>
      <c r="C174" s="2">
        <f>COUNTIF(Worksheet!A:A, A174)</f>
        <v>1</v>
      </c>
    </row>
    <row r="175" spans="1:3" x14ac:dyDescent="0.3">
      <c r="A175" s="9" t="s">
        <v>211</v>
      </c>
      <c r="B175" s="48">
        <v>15</v>
      </c>
      <c r="C175" s="2">
        <f>COUNTIF(Worksheet!A:A, A175)</f>
        <v>1</v>
      </c>
    </row>
    <row r="176" spans="1:3" x14ac:dyDescent="0.3">
      <c r="A176" s="9" t="s">
        <v>204</v>
      </c>
      <c r="B176" s="48">
        <v>15</v>
      </c>
      <c r="C176" s="2">
        <f>COUNTIF(Worksheet!A:A, A176)</f>
        <v>1</v>
      </c>
    </row>
    <row r="177" spans="1:3" x14ac:dyDescent="0.3">
      <c r="A177" s="9" t="s">
        <v>217</v>
      </c>
      <c r="B177" s="48">
        <v>15</v>
      </c>
      <c r="C177" s="2">
        <f>COUNTIF(Worksheet!A:A, A177)</f>
        <v>1</v>
      </c>
    </row>
    <row r="178" spans="1:3" x14ac:dyDescent="0.3">
      <c r="A178" s="9" t="s">
        <v>213</v>
      </c>
      <c r="B178" s="48">
        <v>15</v>
      </c>
      <c r="C178" s="2">
        <f>COUNTIF(Worksheet!A:A, A178)</f>
        <v>1</v>
      </c>
    </row>
    <row r="179" spans="1:3" x14ac:dyDescent="0.3">
      <c r="A179" s="9" t="s">
        <v>219</v>
      </c>
      <c r="B179" s="48">
        <v>15</v>
      </c>
      <c r="C179" s="2">
        <f>COUNTIF(Worksheet!A:A, A179)</f>
        <v>1</v>
      </c>
    </row>
    <row r="180" spans="1:3" x14ac:dyDescent="0.3">
      <c r="A180" s="9" t="s">
        <v>209</v>
      </c>
      <c r="B180" s="48">
        <v>15</v>
      </c>
      <c r="C180" s="2">
        <f>COUNTIF(Worksheet!A:A, A180)</f>
        <v>1</v>
      </c>
    </row>
    <row r="181" spans="1:3" x14ac:dyDescent="0.3">
      <c r="A181" s="9" t="s">
        <v>475</v>
      </c>
      <c r="B181" s="48">
        <v>14</v>
      </c>
      <c r="C181" s="2">
        <f>COUNTIF(Worksheet!A:A, A181)</f>
        <v>2</v>
      </c>
    </row>
    <row r="182" spans="1:3" x14ac:dyDescent="0.3">
      <c r="A182" s="9" t="s">
        <v>465</v>
      </c>
      <c r="B182" s="48">
        <v>14</v>
      </c>
      <c r="C182" s="2">
        <f>COUNTIF(Worksheet!A:A, A182)</f>
        <v>2</v>
      </c>
    </row>
    <row r="183" spans="1:3" x14ac:dyDescent="0.3">
      <c r="A183" s="9" t="s">
        <v>243</v>
      </c>
      <c r="B183" s="48">
        <v>14</v>
      </c>
      <c r="C183" s="2">
        <f>COUNTIF(Worksheet!A:A, A183)</f>
        <v>1</v>
      </c>
    </row>
    <row r="184" spans="1:3" x14ac:dyDescent="0.3">
      <c r="A184" s="9" t="s">
        <v>234</v>
      </c>
      <c r="B184" s="48">
        <v>14</v>
      </c>
      <c r="C184" s="2">
        <f>COUNTIF(Worksheet!A:A, A184)</f>
        <v>1</v>
      </c>
    </row>
    <row r="185" spans="1:3" x14ac:dyDescent="0.3">
      <c r="A185" s="9" t="s">
        <v>468</v>
      </c>
      <c r="B185" s="48">
        <v>14</v>
      </c>
      <c r="C185" s="2">
        <f>COUNTIF(Worksheet!A:A, A185)</f>
        <v>2</v>
      </c>
    </row>
    <row r="186" spans="1:3" x14ac:dyDescent="0.3">
      <c r="A186" s="9" t="s">
        <v>235</v>
      </c>
      <c r="B186" s="48">
        <v>14</v>
      </c>
      <c r="C186" s="2">
        <f>COUNTIF(Worksheet!A:A, A186)</f>
        <v>1</v>
      </c>
    </row>
    <row r="187" spans="1:3" x14ac:dyDescent="0.3">
      <c r="A187" s="9" t="s">
        <v>230</v>
      </c>
      <c r="B187" s="48">
        <v>14</v>
      </c>
      <c r="C187" s="2">
        <f>COUNTIF(Worksheet!A:A, A187)</f>
        <v>1</v>
      </c>
    </row>
    <row r="188" spans="1:3" x14ac:dyDescent="0.3">
      <c r="A188" s="9" t="s">
        <v>237</v>
      </c>
      <c r="B188" s="48">
        <v>14</v>
      </c>
      <c r="C188" s="2">
        <f>COUNTIF(Worksheet!A:A, A188)</f>
        <v>1</v>
      </c>
    </row>
    <row r="189" spans="1:3" x14ac:dyDescent="0.3">
      <c r="A189" s="9" t="s">
        <v>464</v>
      </c>
      <c r="B189" s="48">
        <v>14</v>
      </c>
      <c r="C189" s="2">
        <f>COUNTIF(Worksheet!A:A, A189)</f>
        <v>2</v>
      </c>
    </row>
    <row r="190" spans="1:3" x14ac:dyDescent="0.3">
      <c r="A190" s="9" t="s">
        <v>239</v>
      </c>
      <c r="B190" s="48">
        <v>14</v>
      </c>
      <c r="C190" s="2">
        <f>COUNTIF(Worksheet!A:A, A190)</f>
        <v>1</v>
      </c>
    </row>
    <row r="191" spans="1:3" x14ac:dyDescent="0.3">
      <c r="A191" s="9" t="s">
        <v>245</v>
      </c>
      <c r="B191" s="48">
        <v>14</v>
      </c>
      <c r="C191" s="2">
        <f>COUNTIF(Worksheet!A:A, A191)</f>
        <v>1</v>
      </c>
    </row>
    <row r="192" spans="1:3" x14ac:dyDescent="0.3">
      <c r="A192" s="9" t="s">
        <v>247</v>
      </c>
      <c r="B192" s="48">
        <v>14</v>
      </c>
      <c r="C192" s="2">
        <f>COUNTIF(Worksheet!A:A, A192)</f>
        <v>1</v>
      </c>
    </row>
    <row r="193" spans="1:3" x14ac:dyDescent="0.3">
      <c r="A193" s="9" t="s">
        <v>472</v>
      </c>
      <c r="B193" s="48">
        <v>14</v>
      </c>
      <c r="C193" s="2">
        <f>COUNTIF(Worksheet!A:A, A193)</f>
        <v>2</v>
      </c>
    </row>
    <row r="194" spans="1:3" x14ac:dyDescent="0.3">
      <c r="A194" s="9" t="s">
        <v>226</v>
      </c>
      <c r="B194" s="48">
        <v>14</v>
      </c>
      <c r="C194" s="2">
        <f>COUNTIF(Worksheet!A:A, A194)</f>
        <v>1</v>
      </c>
    </row>
    <row r="195" spans="1:3" x14ac:dyDescent="0.3">
      <c r="A195" s="9" t="s">
        <v>253</v>
      </c>
      <c r="B195" s="48">
        <v>14</v>
      </c>
      <c r="C195" s="2">
        <f>COUNTIF(Worksheet!A:A, A195)</f>
        <v>1</v>
      </c>
    </row>
    <row r="196" spans="1:3" x14ac:dyDescent="0.3">
      <c r="A196" s="9" t="s">
        <v>249</v>
      </c>
      <c r="B196" s="48">
        <v>14</v>
      </c>
      <c r="C196" s="2">
        <f>COUNTIF(Worksheet!A:A, A196)</f>
        <v>1</v>
      </c>
    </row>
    <row r="197" spans="1:3" x14ac:dyDescent="0.3">
      <c r="A197" s="9" t="s">
        <v>259</v>
      </c>
      <c r="B197" s="48">
        <v>13</v>
      </c>
      <c r="C197" s="2">
        <f>COUNTIF(Worksheet!A:A, A197)</f>
        <v>1</v>
      </c>
    </row>
    <row r="198" spans="1:3" x14ac:dyDescent="0.3">
      <c r="A198" s="9" t="s">
        <v>267</v>
      </c>
      <c r="B198" s="48">
        <v>13</v>
      </c>
      <c r="C198" s="2">
        <f>COUNTIF(Worksheet!A:A, A198)</f>
        <v>1</v>
      </c>
    </row>
    <row r="199" spans="1:3" x14ac:dyDescent="0.3">
      <c r="A199" s="9" t="s">
        <v>265</v>
      </c>
      <c r="B199" s="48">
        <v>13</v>
      </c>
      <c r="C199" s="2">
        <f>COUNTIF(Worksheet!A:A, A199)</f>
        <v>1</v>
      </c>
    </row>
    <row r="200" spans="1:3" x14ac:dyDescent="0.3">
      <c r="A200" s="9" t="s">
        <v>279</v>
      </c>
      <c r="B200" s="48">
        <v>13</v>
      </c>
      <c r="C200" s="2">
        <f>COUNTIF(Worksheet!A:A, A200)</f>
        <v>1</v>
      </c>
    </row>
    <row r="201" spans="1:3" x14ac:dyDescent="0.3">
      <c r="A201" s="9" t="s">
        <v>258</v>
      </c>
      <c r="B201" s="48">
        <v>13</v>
      </c>
      <c r="C201" s="2">
        <f>COUNTIF(Worksheet!A:A, A201)</f>
        <v>1</v>
      </c>
    </row>
    <row r="202" spans="1:3" x14ac:dyDescent="0.3">
      <c r="A202" s="9" t="s">
        <v>281</v>
      </c>
      <c r="B202" s="48">
        <v>13</v>
      </c>
      <c r="C202" s="2">
        <f>COUNTIF(Worksheet!A:A, A202)</f>
        <v>1</v>
      </c>
    </row>
    <row r="203" spans="1:3" x14ac:dyDescent="0.3">
      <c r="A203" s="9" t="s">
        <v>261</v>
      </c>
      <c r="B203" s="48">
        <v>13</v>
      </c>
      <c r="C203" s="2">
        <f>COUNTIF(Worksheet!A:A, A203)</f>
        <v>1</v>
      </c>
    </row>
    <row r="204" spans="1:3" x14ac:dyDescent="0.3">
      <c r="A204" s="9" t="s">
        <v>283</v>
      </c>
      <c r="B204" s="48">
        <v>13</v>
      </c>
      <c r="C204" s="2">
        <f>COUNTIF(Worksheet!A:A, A204)</f>
        <v>1</v>
      </c>
    </row>
    <row r="205" spans="1:3" x14ac:dyDescent="0.3">
      <c r="A205" s="9" t="s">
        <v>266</v>
      </c>
      <c r="B205" s="48">
        <v>13</v>
      </c>
      <c r="C205" s="2">
        <f>COUNTIF(Worksheet!A:A, A205)</f>
        <v>1</v>
      </c>
    </row>
    <row r="206" spans="1:3" x14ac:dyDescent="0.3">
      <c r="A206" s="9" t="s">
        <v>285</v>
      </c>
      <c r="B206" s="48">
        <v>13</v>
      </c>
      <c r="C206" s="2">
        <f>COUNTIF(Worksheet!A:A, A206)</f>
        <v>1</v>
      </c>
    </row>
    <row r="207" spans="1:3" x14ac:dyDescent="0.3">
      <c r="A207" s="9" t="s">
        <v>268</v>
      </c>
      <c r="B207" s="48">
        <v>13</v>
      </c>
      <c r="C207" s="2">
        <f>COUNTIF(Worksheet!A:A, A207)</f>
        <v>1</v>
      </c>
    </row>
    <row r="208" spans="1:3" x14ac:dyDescent="0.3">
      <c r="A208" s="9" t="s">
        <v>287</v>
      </c>
      <c r="B208" s="48">
        <v>13</v>
      </c>
      <c r="C208" s="2">
        <f>COUNTIF(Worksheet!A:A, A208)</f>
        <v>1</v>
      </c>
    </row>
    <row r="209" spans="1:3" x14ac:dyDescent="0.3">
      <c r="A209" s="9" t="s">
        <v>272</v>
      </c>
      <c r="B209" s="48">
        <v>13</v>
      </c>
      <c r="C209" s="2">
        <f>COUNTIF(Worksheet!A:A, A209)</f>
        <v>1</v>
      </c>
    </row>
    <row r="210" spans="1:3" x14ac:dyDescent="0.3">
      <c r="A210" s="9" t="s">
        <v>289</v>
      </c>
      <c r="B210" s="48">
        <v>13</v>
      </c>
      <c r="C210" s="2">
        <f>COUNTIF(Worksheet!A:A, A210)</f>
        <v>1</v>
      </c>
    </row>
    <row r="211" spans="1:3" x14ac:dyDescent="0.3">
      <c r="A211" s="9" t="s">
        <v>275</v>
      </c>
      <c r="B211" s="48">
        <v>13</v>
      </c>
      <c r="C211" s="2">
        <f>COUNTIF(Worksheet!A:A, A211)</f>
        <v>1</v>
      </c>
    </row>
    <row r="212" spans="1:3" x14ac:dyDescent="0.3">
      <c r="A212" s="9" t="s">
        <v>263</v>
      </c>
      <c r="B212" s="48">
        <v>13</v>
      </c>
      <c r="C212" s="2">
        <f>COUNTIF(Worksheet!A:A, A212)</f>
        <v>1</v>
      </c>
    </row>
    <row r="213" spans="1:3" x14ac:dyDescent="0.3">
      <c r="A213" s="9" t="s">
        <v>257</v>
      </c>
      <c r="B213" s="48">
        <v>13</v>
      </c>
      <c r="C213" s="2">
        <f>COUNTIF(Worksheet!A:A, A213)</f>
        <v>1</v>
      </c>
    </row>
    <row r="214" spans="1:3" x14ac:dyDescent="0.3">
      <c r="A214" s="9" t="s">
        <v>277</v>
      </c>
      <c r="B214" s="48">
        <v>13</v>
      </c>
      <c r="C214" s="2">
        <f>COUNTIF(Worksheet!A:A, A214)</f>
        <v>1</v>
      </c>
    </row>
    <row r="215" spans="1:3" x14ac:dyDescent="0.3">
      <c r="A215" s="9" t="s">
        <v>291</v>
      </c>
      <c r="B215" s="48">
        <v>13</v>
      </c>
      <c r="C215" s="2">
        <f>COUNTIF(Worksheet!A:A, A215)</f>
        <v>1</v>
      </c>
    </row>
    <row r="216" spans="1:3" x14ac:dyDescent="0.3">
      <c r="A216" s="9" t="s">
        <v>518</v>
      </c>
      <c r="B216" s="48">
        <v>12</v>
      </c>
      <c r="C216" s="2">
        <f>COUNTIF(Worksheet!A:A, A216)</f>
        <v>2</v>
      </c>
    </row>
    <row r="217" spans="1:3" x14ac:dyDescent="0.3">
      <c r="A217" s="9" t="s">
        <v>317</v>
      </c>
      <c r="B217" s="48">
        <v>12</v>
      </c>
      <c r="C217" s="2">
        <f>COUNTIF(Worksheet!A:A, A217)</f>
        <v>1</v>
      </c>
    </row>
    <row r="218" spans="1:3" x14ac:dyDescent="0.3">
      <c r="A218" s="9" t="s">
        <v>301</v>
      </c>
      <c r="B218" s="48">
        <v>12</v>
      </c>
      <c r="C218" s="2">
        <f>COUNTIF(Worksheet!A:A, A218)</f>
        <v>1</v>
      </c>
    </row>
    <row r="219" spans="1:3" x14ac:dyDescent="0.3">
      <c r="A219" s="9" t="s">
        <v>305</v>
      </c>
      <c r="B219" s="48">
        <v>12</v>
      </c>
      <c r="C219" s="2">
        <f>COUNTIF(Worksheet!A:A, A219)</f>
        <v>1</v>
      </c>
    </row>
    <row r="220" spans="1:3" x14ac:dyDescent="0.3">
      <c r="A220" s="9" t="s">
        <v>297</v>
      </c>
      <c r="B220" s="48">
        <v>12</v>
      </c>
      <c r="C220" s="2">
        <f>COUNTIF(Worksheet!A:A, A220)</f>
        <v>1</v>
      </c>
    </row>
    <row r="221" spans="1:3" x14ac:dyDescent="0.3">
      <c r="A221" s="9" t="s">
        <v>298</v>
      </c>
      <c r="B221" s="48">
        <v>12</v>
      </c>
      <c r="C221" s="2">
        <f>COUNTIF(Worksheet!A:A, A221)</f>
        <v>1</v>
      </c>
    </row>
    <row r="222" spans="1:3" x14ac:dyDescent="0.3">
      <c r="A222" s="9" t="s">
        <v>312</v>
      </c>
      <c r="B222" s="48">
        <v>12</v>
      </c>
      <c r="C222" s="2">
        <f>COUNTIF(Worksheet!A:A, A222)</f>
        <v>1</v>
      </c>
    </row>
    <row r="223" spans="1:3" x14ac:dyDescent="0.3">
      <c r="A223" s="9" t="s">
        <v>299</v>
      </c>
      <c r="B223" s="48">
        <v>12</v>
      </c>
      <c r="C223" s="2">
        <f>COUNTIF(Worksheet!A:A, A223)</f>
        <v>1</v>
      </c>
    </row>
    <row r="224" spans="1:3" x14ac:dyDescent="0.3">
      <c r="A224" s="9" t="s">
        <v>315</v>
      </c>
      <c r="B224" s="48">
        <v>12</v>
      </c>
      <c r="C224" s="2">
        <f>COUNTIF(Worksheet!A:A, A224)</f>
        <v>1</v>
      </c>
    </row>
    <row r="225" spans="1:3" x14ac:dyDescent="0.3">
      <c r="A225" s="9" t="s">
        <v>494</v>
      </c>
      <c r="B225" s="48">
        <v>12</v>
      </c>
      <c r="C225" s="2">
        <f>COUNTIF(Worksheet!A:A, A225)</f>
        <v>2</v>
      </c>
    </row>
    <row r="226" spans="1:3" x14ac:dyDescent="0.3">
      <c r="A226" s="9" t="s">
        <v>319</v>
      </c>
      <c r="B226" s="48">
        <v>12</v>
      </c>
      <c r="C226" s="2">
        <f>COUNTIF(Worksheet!A:A, A226)</f>
        <v>1</v>
      </c>
    </row>
    <row r="227" spans="1:3" x14ac:dyDescent="0.3">
      <c r="A227" s="9" t="s">
        <v>310</v>
      </c>
      <c r="B227" s="48">
        <v>12</v>
      </c>
      <c r="C227" s="2">
        <f>COUNTIF(Worksheet!A:A, A227)</f>
        <v>1</v>
      </c>
    </row>
    <row r="228" spans="1:3" x14ac:dyDescent="0.3">
      <c r="A228" s="9" t="s">
        <v>508</v>
      </c>
      <c r="B228" s="48">
        <v>12</v>
      </c>
      <c r="C228" s="2">
        <f>COUNTIF(Worksheet!A:A, A228)</f>
        <v>2</v>
      </c>
    </row>
    <row r="229" spans="1:3" x14ac:dyDescent="0.3">
      <c r="A229" s="9" t="s">
        <v>293</v>
      </c>
      <c r="B229" s="48">
        <v>12</v>
      </c>
      <c r="C229" s="2">
        <f>COUNTIF(Worksheet!A:A, A229)</f>
        <v>1</v>
      </c>
    </row>
    <row r="230" spans="1:3" x14ac:dyDescent="0.3">
      <c r="A230" s="9" t="s">
        <v>314</v>
      </c>
      <c r="B230" s="48">
        <v>12</v>
      </c>
      <c r="C230" s="2">
        <f>COUNTIF(Worksheet!A:A, A230)</f>
        <v>1</v>
      </c>
    </row>
    <row r="231" spans="1:3" x14ac:dyDescent="0.3">
      <c r="A231" s="9" t="s">
        <v>335</v>
      </c>
      <c r="B231" s="48">
        <v>11</v>
      </c>
      <c r="C231" s="2">
        <f>COUNTIF(Worksheet!A:A, A231)</f>
        <v>1</v>
      </c>
    </row>
    <row r="232" spans="1:3" x14ac:dyDescent="0.3">
      <c r="A232" s="9" t="s">
        <v>323</v>
      </c>
      <c r="B232" s="48">
        <v>11</v>
      </c>
      <c r="C232" s="2">
        <f>COUNTIF(Worksheet!A:A, A232)</f>
        <v>1</v>
      </c>
    </row>
    <row r="233" spans="1:3" x14ac:dyDescent="0.3">
      <c r="A233" s="9" t="s">
        <v>344</v>
      </c>
      <c r="B233" s="48">
        <v>11</v>
      </c>
      <c r="C233" s="2">
        <f>COUNTIF(Worksheet!A:A, A233)</f>
        <v>1</v>
      </c>
    </row>
    <row r="234" spans="1:3" x14ac:dyDescent="0.3">
      <c r="A234" s="9" t="s">
        <v>339</v>
      </c>
      <c r="B234" s="48">
        <v>11</v>
      </c>
      <c r="C234" s="2">
        <f>COUNTIF(Worksheet!A:A, A234)</f>
        <v>1</v>
      </c>
    </row>
    <row r="235" spans="1:3" x14ac:dyDescent="0.3">
      <c r="A235" s="9" t="s">
        <v>328</v>
      </c>
      <c r="B235" s="48">
        <v>11</v>
      </c>
      <c r="C235" s="2">
        <f>COUNTIF(Worksheet!A:A, A235)</f>
        <v>1</v>
      </c>
    </row>
    <row r="236" spans="1:3" x14ac:dyDescent="0.3">
      <c r="A236" s="9" t="s">
        <v>329</v>
      </c>
      <c r="B236" s="48">
        <v>11</v>
      </c>
      <c r="C236" s="2">
        <f>COUNTIF(Worksheet!A:A, A236)</f>
        <v>1</v>
      </c>
    </row>
    <row r="237" spans="1:3" x14ac:dyDescent="0.3">
      <c r="A237" s="9" t="s">
        <v>330</v>
      </c>
      <c r="B237" s="48">
        <v>11</v>
      </c>
      <c r="C237" s="2">
        <f>COUNTIF(Worksheet!A:A, A237)</f>
        <v>1</v>
      </c>
    </row>
    <row r="238" spans="1:3" x14ac:dyDescent="0.3">
      <c r="A238" s="9" t="s">
        <v>324</v>
      </c>
      <c r="B238" s="48">
        <v>11</v>
      </c>
      <c r="C238" s="2">
        <f>COUNTIF(Worksheet!A:A, A238)</f>
        <v>1</v>
      </c>
    </row>
    <row r="239" spans="1:3" x14ac:dyDescent="0.3">
      <c r="A239" s="9" t="s">
        <v>371</v>
      </c>
      <c r="B239" s="48">
        <v>10</v>
      </c>
      <c r="C239" s="2">
        <f>COUNTIF(Worksheet!A:A, A239)</f>
        <v>1</v>
      </c>
    </row>
    <row r="240" spans="1:3" x14ac:dyDescent="0.3">
      <c r="A240" s="9" t="s">
        <v>352</v>
      </c>
      <c r="B240" s="48">
        <v>10</v>
      </c>
      <c r="C240" s="2">
        <f>COUNTIF(Worksheet!A:A, A240)</f>
        <v>1</v>
      </c>
    </row>
    <row r="241" spans="1:3" x14ac:dyDescent="0.3">
      <c r="A241" s="9" t="s">
        <v>544</v>
      </c>
      <c r="B241" s="48">
        <v>10</v>
      </c>
      <c r="C241" s="2">
        <f>COUNTIF(Worksheet!A:A, A241)</f>
        <v>2</v>
      </c>
    </row>
    <row r="242" spans="1:3" x14ac:dyDescent="0.3">
      <c r="A242" s="9" t="s">
        <v>361</v>
      </c>
      <c r="B242" s="48">
        <v>10</v>
      </c>
      <c r="C242" s="2">
        <f>COUNTIF(Worksheet!A:A, A242)</f>
        <v>1</v>
      </c>
    </row>
    <row r="243" spans="1:3" x14ac:dyDescent="0.3">
      <c r="A243" s="9" t="s">
        <v>369</v>
      </c>
      <c r="B243" s="48">
        <v>10</v>
      </c>
      <c r="C243" s="2">
        <f>COUNTIF(Worksheet!A:A, A243)</f>
        <v>1</v>
      </c>
    </row>
    <row r="244" spans="1:3" x14ac:dyDescent="0.3">
      <c r="A244" s="9" t="s">
        <v>362</v>
      </c>
      <c r="B244" s="48">
        <v>10</v>
      </c>
      <c r="C244" s="2">
        <f>COUNTIF(Worksheet!A:A, A244)</f>
        <v>1</v>
      </c>
    </row>
    <row r="245" spans="1:3" x14ac:dyDescent="0.3">
      <c r="A245" s="9" t="s">
        <v>357</v>
      </c>
      <c r="B245" s="48">
        <v>10</v>
      </c>
      <c r="C245" s="2">
        <f>COUNTIF(Worksheet!A:A, A245)</f>
        <v>1</v>
      </c>
    </row>
    <row r="246" spans="1:3" x14ac:dyDescent="0.3">
      <c r="A246" s="9" t="s">
        <v>364</v>
      </c>
      <c r="B246" s="48">
        <v>10</v>
      </c>
      <c r="C246" s="2">
        <f>COUNTIF(Worksheet!A:A, A246)</f>
        <v>1</v>
      </c>
    </row>
    <row r="247" spans="1:3" x14ac:dyDescent="0.3">
      <c r="A247" s="9" t="s">
        <v>354</v>
      </c>
      <c r="B247" s="48">
        <v>10</v>
      </c>
      <c r="C247" s="2">
        <f>COUNTIF(Worksheet!A:A, A247)</f>
        <v>1</v>
      </c>
    </row>
    <row r="248" spans="1:3" x14ac:dyDescent="0.3">
      <c r="A248" s="9" t="s">
        <v>366</v>
      </c>
      <c r="B248" s="48">
        <v>10</v>
      </c>
      <c r="C248" s="2">
        <f>COUNTIF(Worksheet!A:A, A248)</f>
        <v>1</v>
      </c>
    </row>
    <row r="249" spans="1:3" x14ac:dyDescent="0.3">
      <c r="A249" s="9" t="s">
        <v>368</v>
      </c>
      <c r="B249" s="48">
        <v>10</v>
      </c>
      <c r="C249" s="2">
        <f>COUNTIF(Worksheet!A:A, A249)</f>
        <v>1</v>
      </c>
    </row>
    <row r="250" spans="1:3" x14ac:dyDescent="0.3">
      <c r="A250" s="9" t="s">
        <v>550</v>
      </c>
      <c r="B250" s="48">
        <v>10</v>
      </c>
      <c r="C250" s="2">
        <f>COUNTIF(Worksheet!A:A, A250)</f>
        <v>2</v>
      </c>
    </row>
    <row r="251" spans="1:3" x14ac:dyDescent="0.3">
      <c r="A251" s="9" t="s">
        <v>400</v>
      </c>
      <c r="B251" s="48">
        <v>9</v>
      </c>
      <c r="C251" s="2">
        <f>COUNTIF(Worksheet!A:A, A251)</f>
        <v>1</v>
      </c>
    </row>
    <row r="252" spans="1:3" x14ac:dyDescent="0.3">
      <c r="A252" s="9" t="s">
        <v>556</v>
      </c>
      <c r="B252" s="48">
        <v>9</v>
      </c>
      <c r="C252" s="2">
        <f>COUNTIF(Worksheet!A:A, A252)</f>
        <v>2</v>
      </c>
    </row>
    <row r="253" spans="1:3" x14ac:dyDescent="0.3">
      <c r="A253" s="9" t="s">
        <v>403</v>
      </c>
      <c r="B253" s="48">
        <v>9</v>
      </c>
      <c r="C253" s="2">
        <f>COUNTIF(Worksheet!A:A, A253)</f>
        <v>1</v>
      </c>
    </row>
    <row r="254" spans="1:3" x14ac:dyDescent="0.3">
      <c r="A254" s="9" t="s">
        <v>385</v>
      </c>
      <c r="B254" s="48">
        <v>9</v>
      </c>
      <c r="C254" s="2">
        <f>COUNTIF(Worksheet!A:A, A254)</f>
        <v>1</v>
      </c>
    </row>
    <row r="255" spans="1:3" x14ac:dyDescent="0.3">
      <c r="A255" s="9" t="s">
        <v>396</v>
      </c>
      <c r="B255" s="48">
        <v>9</v>
      </c>
      <c r="C255" s="2">
        <f>COUNTIF(Worksheet!A:A, A255)</f>
        <v>1</v>
      </c>
    </row>
    <row r="256" spans="1:3" x14ac:dyDescent="0.3">
      <c r="A256" s="9" t="s">
        <v>377</v>
      </c>
      <c r="B256" s="48">
        <v>9</v>
      </c>
      <c r="C256" s="2">
        <f>COUNTIF(Worksheet!A:A, A256)</f>
        <v>1</v>
      </c>
    </row>
    <row r="257" spans="1:3" x14ac:dyDescent="0.3">
      <c r="A257" s="9" t="s">
        <v>402</v>
      </c>
      <c r="B257" s="48">
        <v>9</v>
      </c>
      <c r="C257" s="2">
        <f>COUNTIF(Worksheet!A:A, A257)</f>
        <v>1</v>
      </c>
    </row>
    <row r="258" spans="1:3" x14ac:dyDescent="0.3">
      <c r="A258" s="9" t="s">
        <v>390</v>
      </c>
      <c r="B258" s="48">
        <v>9</v>
      </c>
      <c r="C258" s="2">
        <f>COUNTIF(Worksheet!A:A, A258)</f>
        <v>1</v>
      </c>
    </row>
    <row r="259" spans="1:3" x14ac:dyDescent="0.3">
      <c r="A259" s="9" t="s">
        <v>405</v>
      </c>
      <c r="B259" s="48">
        <v>9</v>
      </c>
      <c r="C259" s="2">
        <f>COUNTIF(Worksheet!A:A, A259)</f>
        <v>1</v>
      </c>
    </row>
    <row r="260" spans="1:3" x14ac:dyDescent="0.3">
      <c r="A260" s="9" t="s">
        <v>407</v>
      </c>
      <c r="B260" s="48">
        <v>9</v>
      </c>
      <c r="C260" s="2">
        <f>COUNTIF(Worksheet!A:A, A260)</f>
        <v>1</v>
      </c>
    </row>
    <row r="261" spans="1:3" x14ac:dyDescent="0.3">
      <c r="A261" s="9" t="s">
        <v>394</v>
      </c>
      <c r="B261" s="48">
        <v>9</v>
      </c>
      <c r="C261" s="2">
        <f>COUNTIF(Worksheet!A:A, A261)</f>
        <v>1</v>
      </c>
    </row>
    <row r="262" spans="1:3" x14ac:dyDescent="0.3">
      <c r="A262" s="9" t="s">
        <v>379</v>
      </c>
      <c r="B262" s="48">
        <v>9</v>
      </c>
      <c r="C262" s="2">
        <f>COUNTIF(Worksheet!A:A, A262)</f>
        <v>1</v>
      </c>
    </row>
    <row r="263" spans="1:3" x14ac:dyDescent="0.3">
      <c r="A263" s="9" t="s">
        <v>383</v>
      </c>
      <c r="B263" s="48">
        <v>9</v>
      </c>
      <c r="C263" s="2">
        <f>COUNTIF(Worksheet!A:A, A263)</f>
        <v>1</v>
      </c>
    </row>
    <row r="264" spans="1:3" x14ac:dyDescent="0.3">
      <c r="A264" s="9" t="s">
        <v>375</v>
      </c>
      <c r="B264" s="48">
        <v>9</v>
      </c>
      <c r="C264" s="2">
        <f>COUNTIF(Worksheet!A:A, A264)</f>
        <v>1</v>
      </c>
    </row>
    <row r="265" spans="1:3" x14ac:dyDescent="0.3">
      <c r="A265" s="9" t="s">
        <v>429</v>
      </c>
      <c r="B265" s="48">
        <v>8</v>
      </c>
      <c r="C265" s="2">
        <f>COUNTIF(Worksheet!A:A, A265)</f>
        <v>1</v>
      </c>
    </row>
    <row r="266" spans="1:3" x14ac:dyDescent="0.3">
      <c r="A266" s="9" t="s">
        <v>437</v>
      </c>
      <c r="B266" s="48">
        <v>8</v>
      </c>
      <c r="C266" s="2">
        <f>COUNTIF(Worksheet!A:A, A266)</f>
        <v>1</v>
      </c>
    </row>
    <row r="267" spans="1:3" x14ac:dyDescent="0.3">
      <c r="A267" s="9" t="s">
        <v>442</v>
      </c>
      <c r="B267" s="48">
        <v>8</v>
      </c>
      <c r="C267" s="2">
        <f>COUNTIF(Worksheet!A:A, A267)</f>
        <v>1</v>
      </c>
    </row>
    <row r="268" spans="1:3" x14ac:dyDescent="0.3">
      <c r="A268" s="9" t="s">
        <v>451</v>
      </c>
      <c r="B268" s="48">
        <v>8</v>
      </c>
      <c r="C268" s="2">
        <f>COUNTIF(Worksheet!A:A, A268)</f>
        <v>1</v>
      </c>
    </row>
    <row r="269" spans="1:3" x14ac:dyDescent="0.3">
      <c r="A269" s="9" t="s">
        <v>416</v>
      </c>
      <c r="B269" s="48">
        <v>8</v>
      </c>
      <c r="C269" s="2">
        <f>COUNTIF(Worksheet!A:A, A269)</f>
        <v>1</v>
      </c>
    </row>
    <row r="270" spans="1:3" x14ac:dyDescent="0.3">
      <c r="A270" s="9" t="s">
        <v>452</v>
      </c>
      <c r="B270" s="48">
        <v>8</v>
      </c>
      <c r="C270" s="2">
        <f>COUNTIF(Worksheet!A:A, A270)</f>
        <v>1</v>
      </c>
    </row>
    <row r="271" spans="1:3" x14ac:dyDescent="0.3">
      <c r="A271" s="9" t="s">
        <v>458</v>
      </c>
      <c r="B271" s="48">
        <v>8</v>
      </c>
      <c r="C271" s="2">
        <f>COUNTIF(Worksheet!A:A, A271)</f>
        <v>1</v>
      </c>
    </row>
    <row r="272" spans="1:3" x14ac:dyDescent="0.3">
      <c r="A272" s="9" t="s">
        <v>421</v>
      </c>
      <c r="B272" s="48">
        <v>8</v>
      </c>
      <c r="C272" s="2">
        <f>COUNTIF(Worksheet!A:A, A272)</f>
        <v>1</v>
      </c>
    </row>
    <row r="273" spans="1:3" x14ac:dyDescent="0.3">
      <c r="A273" s="9" t="s">
        <v>443</v>
      </c>
      <c r="B273" s="48">
        <v>8</v>
      </c>
      <c r="C273" s="2">
        <f>COUNTIF(Worksheet!A:A, A273)</f>
        <v>1</v>
      </c>
    </row>
    <row r="274" spans="1:3" x14ac:dyDescent="0.3">
      <c r="A274" s="9" t="s">
        <v>454</v>
      </c>
      <c r="B274" s="48">
        <v>8</v>
      </c>
      <c r="C274" s="2">
        <f>COUNTIF(Worksheet!A:A, A274)</f>
        <v>1</v>
      </c>
    </row>
    <row r="275" spans="1:3" x14ac:dyDescent="0.3">
      <c r="A275" s="9" t="s">
        <v>420</v>
      </c>
      <c r="B275" s="48">
        <v>8</v>
      </c>
      <c r="C275" s="2">
        <f>COUNTIF(Worksheet!A:A, A275)</f>
        <v>1</v>
      </c>
    </row>
    <row r="276" spans="1:3" x14ac:dyDescent="0.3">
      <c r="A276" s="9" t="s">
        <v>456</v>
      </c>
      <c r="B276" s="48">
        <v>8</v>
      </c>
      <c r="C276" s="2">
        <f>COUNTIF(Worksheet!A:A, A276)</f>
        <v>1</v>
      </c>
    </row>
    <row r="277" spans="1:3" x14ac:dyDescent="0.3">
      <c r="A277" s="9" t="s">
        <v>434</v>
      </c>
      <c r="B277" s="48">
        <v>8</v>
      </c>
      <c r="C277" s="2">
        <f>COUNTIF(Worksheet!A:A, A277)</f>
        <v>1</v>
      </c>
    </row>
    <row r="278" spans="1:3" x14ac:dyDescent="0.3">
      <c r="A278" s="9" t="s">
        <v>423</v>
      </c>
      <c r="B278" s="48">
        <v>8</v>
      </c>
      <c r="C278" s="2">
        <f>COUNTIF(Worksheet!A:A, A278)</f>
        <v>1</v>
      </c>
    </row>
    <row r="279" spans="1:3" x14ac:dyDescent="0.3">
      <c r="A279" s="9" t="s">
        <v>415</v>
      </c>
      <c r="B279" s="48">
        <v>8</v>
      </c>
      <c r="C279" s="2">
        <f>COUNTIF(Worksheet!A:A, A279)</f>
        <v>1</v>
      </c>
    </row>
    <row r="280" spans="1:3" x14ac:dyDescent="0.3">
      <c r="A280" s="9" t="s">
        <v>427</v>
      </c>
      <c r="B280" s="48">
        <v>8</v>
      </c>
      <c r="C280" s="2">
        <f>COUNTIF(Worksheet!A:A, A280)</f>
        <v>1</v>
      </c>
    </row>
    <row r="281" spans="1:3" x14ac:dyDescent="0.3">
      <c r="A281" s="9" t="s">
        <v>462</v>
      </c>
      <c r="B281" s="48">
        <v>7</v>
      </c>
      <c r="C281" s="2">
        <f>COUNTIF(Worksheet!A:A, A281)</f>
        <v>1</v>
      </c>
    </row>
    <row r="282" spans="1:3" x14ac:dyDescent="0.3">
      <c r="A282" s="9" t="s">
        <v>473</v>
      </c>
      <c r="B282" s="48">
        <v>7</v>
      </c>
      <c r="C282" s="2">
        <f>COUNTIF(Worksheet!A:A, A282)</f>
        <v>1</v>
      </c>
    </row>
    <row r="283" spans="1:3" x14ac:dyDescent="0.3">
      <c r="A283" s="9" t="s">
        <v>463</v>
      </c>
      <c r="B283" s="48">
        <v>7</v>
      </c>
      <c r="C283" s="2">
        <f>COUNTIF(Worksheet!A:A, A283)</f>
        <v>1</v>
      </c>
    </row>
    <row r="284" spans="1:3" x14ac:dyDescent="0.3">
      <c r="A284" s="9" t="s">
        <v>470</v>
      </c>
      <c r="B284" s="48">
        <v>7</v>
      </c>
      <c r="C284" s="2">
        <f>COUNTIF(Worksheet!A:A, A284)</f>
        <v>1</v>
      </c>
    </row>
    <row r="285" spans="1:3" x14ac:dyDescent="0.3">
      <c r="A285" s="9" t="s">
        <v>499</v>
      </c>
      <c r="B285" s="48">
        <v>6</v>
      </c>
      <c r="C285" s="2">
        <f>COUNTIF(Worksheet!A:A, A285)</f>
        <v>1</v>
      </c>
    </row>
    <row r="286" spans="1:3" x14ac:dyDescent="0.3">
      <c r="A286" s="9" t="s">
        <v>517</v>
      </c>
      <c r="B286" s="48">
        <v>6</v>
      </c>
      <c r="C286" s="2">
        <f>COUNTIF(Worksheet!A:A, A286)</f>
        <v>1</v>
      </c>
    </row>
    <row r="287" spans="1:3" x14ac:dyDescent="0.3">
      <c r="A287" s="9" t="s">
        <v>498</v>
      </c>
      <c r="B287" s="48">
        <v>6</v>
      </c>
      <c r="C287" s="2">
        <f>COUNTIF(Worksheet!A:A, A287)</f>
        <v>1</v>
      </c>
    </row>
    <row r="288" spans="1:3" x14ac:dyDescent="0.3">
      <c r="A288" s="9" t="s">
        <v>503</v>
      </c>
      <c r="B288" s="48">
        <v>6</v>
      </c>
      <c r="C288" s="2">
        <f>COUNTIF(Worksheet!A:A, A288)</f>
        <v>1</v>
      </c>
    </row>
    <row r="289" spans="1:3" x14ac:dyDescent="0.3">
      <c r="A289" s="9" t="s">
        <v>520</v>
      </c>
      <c r="B289" s="48">
        <v>6</v>
      </c>
      <c r="C289" s="2">
        <f>COUNTIF(Worksheet!A:A, A289)</f>
        <v>1</v>
      </c>
    </row>
    <row r="290" spans="1:3" x14ac:dyDescent="0.3">
      <c r="A290" s="9" t="s">
        <v>504</v>
      </c>
      <c r="B290" s="48">
        <v>6</v>
      </c>
      <c r="C290" s="2">
        <f>COUNTIF(Worksheet!A:A, A290)</f>
        <v>1</v>
      </c>
    </row>
    <row r="291" spans="1:3" x14ac:dyDescent="0.3">
      <c r="A291" s="9" t="s">
        <v>491</v>
      </c>
      <c r="B291" s="48">
        <v>6</v>
      </c>
      <c r="C291" s="2">
        <f>COUNTIF(Worksheet!A:A, A291)</f>
        <v>1</v>
      </c>
    </row>
    <row r="292" spans="1:3" x14ac:dyDescent="0.3">
      <c r="A292" s="9" t="s">
        <v>505</v>
      </c>
      <c r="B292" s="48">
        <v>6</v>
      </c>
      <c r="C292" s="2">
        <f>COUNTIF(Worksheet!A:A, A292)</f>
        <v>1</v>
      </c>
    </row>
    <row r="293" spans="1:3" x14ac:dyDescent="0.3">
      <c r="A293" s="9" t="s">
        <v>515</v>
      </c>
      <c r="B293" s="48">
        <v>6</v>
      </c>
      <c r="C293" s="2">
        <f>COUNTIF(Worksheet!A:A, A293)</f>
        <v>1</v>
      </c>
    </row>
    <row r="294" spans="1:3" x14ac:dyDescent="0.3">
      <c r="A294" s="9" t="s">
        <v>507</v>
      </c>
      <c r="B294" s="48">
        <v>6</v>
      </c>
      <c r="C294" s="2">
        <f>COUNTIF(Worksheet!A:A, A294)</f>
        <v>1</v>
      </c>
    </row>
    <row r="295" spans="1:3" x14ac:dyDescent="0.3">
      <c r="A295" s="9" t="s">
        <v>480</v>
      </c>
      <c r="B295" s="48">
        <v>6</v>
      </c>
      <c r="C295" s="2">
        <f>COUNTIF(Worksheet!A:A, A295)</f>
        <v>1</v>
      </c>
    </row>
    <row r="296" spans="1:3" x14ac:dyDescent="0.3">
      <c r="A296" s="9" t="s">
        <v>482</v>
      </c>
      <c r="B296" s="48">
        <v>6</v>
      </c>
      <c r="C296" s="2">
        <f>COUNTIF(Worksheet!A:A, A296)</f>
        <v>1</v>
      </c>
    </row>
    <row r="297" spans="1:3" x14ac:dyDescent="0.3">
      <c r="A297" s="9" t="s">
        <v>521</v>
      </c>
      <c r="B297" s="48">
        <v>6</v>
      </c>
      <c r="C297" s="2">
        <f>COUNTIF(Worksheet!A:A, A297)</f>
        <v>1</v>
      </c>
    </row>
    <row r="298" spans="1:3" x14ac:dyDescent="0.3">
      <c r="A298" s="9" t="s">
        <v>484</v>
      </c>
      <c r="B298" s="48">
        <v>6</v>
      </c>
      <c r="C298" s="2">
        <f>COUNTIF(Worksheet!A:A, A298)</f>
        <v>1</v>
      </c>
    </row>
    <row r="299" spans="1:3" x14ac:dyDescent="0.3">
      <c r="A299" s="9" t="s">
        <v>501</v>
      </c>
      <c r="B299" s="48">
        <v>6</v>
      </c>
      <c r="C299" s="2">
        <f>COUNTIF(Worksheet!A:A, A299)</f>
        <v>1</v>
      </c>
    </row>
    <row r="300" spans="1:3" x14ac:dyDescent="0.3">
      <c r="A300" s="9" t="s">
        <v>487</v>
      </c>
      <c r="B300" s="48">
        <v>6</v>
      </c>
      <c r="C300" s="2">
        <f>COUNTIF(Worksheet!A:A, A300)</f>
        <v>1</v>
      </c>
    </row>
    <row r="301" spans="1:3" x14ac:dyDescent="0.3">
      <c r="A301" s="9" t="s">
        <v>486</v>
      </c>
      <c r="B301" s="48">
        <v>6</v>
      </c>
      <c r="C301" s="2">
        <f>COUNTIF(Worksheet!A:A, A301)</f>
        <v>1</v>
      </c>
    </row>
    <row r="302" spans="1:3" x14ac:dyDescent="0.3">
      <c r="A302" s="9" t="s">
        <v>479</v>
      </c>
      <c r="B302" s="48">
        <v>6</v>
      </c>
      <c r="C302" s="2">
        <f>COUNTIF(Worksheet!A:A, A302)</f>
        <v>1</v>
      </c>
    </row>
    <row r="303" spans="1:3" x14ac:dyDescent="0.3">
      <c r="A303" s="9" t="s">
        <v>489</v>
      </c>
      <c r="B303" s="48">
        <v>6</v>
      </c>
      <c r="C303" s="2">
        <f>COUNTIF(Worksheet!A:A, A303)</f>
        <v>1</v>
      </c>
    </row>
    <row r="304" spans="1:3" x14ac:dyDescent="0.3">
      <c r="A304" s="9" t="s">
        <v>512</v>
      </c>
      <c r="B304" s="48">
        <v>6</v>
      </c>
      <c r="C304" s="2">
        <f>COUNTIF(Worksheet!A:A, A304)</f>
        <v>1</v>
      </c>
    </row>
    <row r="305" spans="1:3" x14ac:dyDescent="0.3">
      <c r="A305" s="9" t="s">
        <v>492</v>
      </c>
      <c r="B305" s="48">
        <v>6</v>
      </c>
      <c r="C305" s="2">
        <f>COUNTIF(Worksheet!A:A, A305)</f>
        <v>1</v>
      </c>
    </row>
    <row r="306" spans="1:3" x14ac:dyDescent="0.3">
      <c r="A306" s="9" t="s">
        <v>513</v>
      </c>
      <c r="B306" s="48">
        <v>6</v>
      </c>
      <c r="C306" s="2">
        <f>COUNTIF(Worksheet!A:A, A306)</f>
        <v>1</v>
      </c>
    </row>
    <row r="307" spans="1:3" x14ac:dyDescent="0.3">
      <c r="A307" s="9" t="s">
        <v>514</v>
      </c>
      <c r="B307" s="48">
        <v>6</v>
      </c>
      <c r="C307" s="2">
        <f>COUNTIF(Worksheet!A:A, A307)</f>
        <v>1</v>
      </c>
    </row>
    <row r="308" spans="1:3" x14ac:dyDescent="0.3">
      <c r="A308" s="9" t="s">
        <v>481</v>
      </c>
      <c r="B308" s="48">
        <v>6</v>
      </c>
      <c r="C308" s="2">
        <f>COUNTIF(Worksheet!A:A, A308)</f>
        <v>1</v>
      </c>
    </row>
    <row r="309" spans="1:3" x14ac:dyDescent="0.3">
      <c r="A309" s="9" t="s">
        <v>510</v>
      </c>
      <c r="B309" s="48">
        <v>6</v>
      </c>
      <c r="C309" s="2">
        <f>COUNTIF(Worksheet!A:A, A309)</f>
        <v>1</v>
      </c>
    </row>
    <row r="310" spans="1:3" x14ac:dyDescent="0.3">
      <c r="A310" s="9" t="s">
        <v>529</v>
      </c>
      <c r="B310" s="48">
        <v>5</v>
      </c>
      <c r="C310" s="2">
        <f>COUNTIF(Worksheet!A:A, A310)</f>
        <v>1</v>
      </c>
    </row>
    <row r="311" spans="1:3" x14ac:dyDescent="0.3">
      <c r="A311" s="9" t="s">
        <v>532</v>
      </c>
      <c r="B311" s="48">
        <v>5</v>
      </c>
      <c r="C311" s="2">
        <f>COUNTIF(Worksheet!A:A, A311)</f>
        <v>1</v>
      </c>
    </row>
    <row r="312" spans="1:3" x14ac:dyDescent="0.3">
      <c r="A312" s="9" t="s">
        <v>554</v>
      </c>
      <c r="B312" s="48">
        <v>5</v>
      </c>
      <c r="C312" s="2">
        <f>COUNTIF(Worksheet!A:A, A312)</f>
        <v>1</v>
      </c>
    </row>
    <row r="313" spans="1:3" x14ac:dyDescent="0.3">
      <c r="A313" s="9" t="s">
        <v>523</v>
      </c>
      <c r="B313" s="48">
        <v>5</v>
      </c>
      <c r="C313" s="2">
        <f>COUNTIF(Worksheet!A:A, A313)</f>
        <v>1</v>
      </c>
    </row>
    <row r="314" spans="1:3" x14ac:dyDescent="0.3">
      <c r="A314" s="9" t="s">
        <v>535</v>
      </c>
      <c r="B314" s="48">
        <v>5</v>
      </c>
      <c r="C314" s="2">
        <f>COUNTIF(Worksheet!A:A, A314)</f>
        <v>1</v>
      </c>
    </row>
    <row r="315" spans="1:3" x14ac:dyDescent="0.3">
      <c r="A315" s="9" t="s">
        <v>526</v>
      </c>
      <c r="B315" s="48">
        <v>5</v>
      </c>
      <c r="C315" s="2">
        <f>COUNTIF(Worksheet!A:A, A315)</f>
        <v>1</v>
      </c>
    </row>
    <row r="316" spans="1:3" x14ac:dyDescent="0.3">
      <c r="A316" s="9" t="s">
        <v>552</v>
      </c>
      <c r="B316" s="48">
        <v>5</v>
      </c>
      <c r="C316" s="2">
        <f>COUNTIF(Worksheet!A:A, A316)</f>
        <v>1</v>
      </c>
    </row>
    <row r="317" spans="1:3" x14ac:dyDescent="0.3">
      <c r="A317" s="9" t="s">
        <v>527</v>
      </c>
      <c r="B317" s="48">
        <v>5</v>
      </c>
      <c r="C317" s="2">
        <f>COUNTIF(Worksheet!A:A, A317)</f>
        <v>1</v>
      </c>
    </row>
    <row r="318" spans="1:3" x14ac:dyDescent="0.3">
      <c r="A318" s="9" t="s">
        <v>531</v>
      </c>
      <c r="B318" s="48">
        <v>5</v>
      </c>
      <c r="C318" s="2">
        <f>COUNTIF(Worksheet!A:A, A318)</f>
        <v>1</v>
      </c>
    </row>
    <row r="319" spans="1:3" x14ac:dyDescent="0.3">
      <c r="A319" s="9" t="s">
        <v>528</v>
      </c>
      <c r="B319" s="48">
        <v>5</v>
      </c>
      <c r="C319" s="2">
        <f>COUNTIF(Worksheet!A:A, A319)</f>
        <v>1</v>
      </c>
    </row>
    <row r="320" spans="1:3" x14ac:dyDescent="0.3">
      <c r="A320" s="9" t="s">
        <v>590</v>
      </c>
      <c r="B320" s="48">
        <v>5</v>
      </c>
      <c r="C320" s="2">
        <f>COUNTIF(Worksheet!A:A, A320)</f>
        <v>2</v>
      </c>
    </row>
    <row r="321" spans="1:3" x14ac:dyDescent="0.3">
      <c r="A321" s="9" t="s">
        <v>546</v>
      </c>
      <c r="B321" s="48">
        <v>5</v>
      </c>
      <c r="C321" s="2">
        <f>COUNTIF(Worksheet!A:A, A321)</f>
        <v>1</v>
      </c>
    </row>
    <row r="322" spans="1:3" x14ac:dyDescent="0.3">
      <c r="A322" s="9" t="s">
        <v>536</v>
      </c>
      <c r="B322" s="48">
        <v>5</v>
      </c>
      <c r="C322" s="2">
        <f>COUNTIF(Worksheet!A:A, A322)</f>
        <v>1</v>
      </c>
    </row>
    <row r="323" spans="1:3" x14ac:dyDescent="0.3">
      <c r="A323" s="9" t="s">
        <v>548</v>
      </c>
      <c r="B323" s="48">
        <v>5</v>
      </c>
      <c r="C323" s="2">
        <f>COUNTIF(Worksheet!A:A, A323)</f>
        <v>1</v>
      </c>
    </row>
    <row r="324" spans="1:3" x14ac:dyDescent="0.3">
      <c r="A324" s="9" t="s">
        <v>534</v>
      </c>
      <c r="B324" s="48">
        <v>5</v>
      </c>
      <c r="C324" s="2">
        <f>COUNTIF(Worksheet!A:A, A324)</f>
        <v>1</v>
      </c>
    </row>
    <row r="325" spans="1:3" x14ac:dyDescent="0.3">
      <c r="A325" s="9" t="s">
        <v>574</v>
      </c>
      <c r="B325" s="48">
        <v>4</v>
      </c>
      <c r="C325" s="2">
        <f>COUNTIF(Worksheet!A:A, A325)</f>
        <v>1</v>
      </c>
    </row>
    <row r="326" spans="1:3" x14ac:dyDescent="0.3">
      <c r="A326" s="9" t="s">
        <v>581</v>
      </c>
      <c r="B326" s="48">
        <v>4</v>
      </c>
      <c r="C326" s="2">
        <f>COUNTIF(Worksheet!A:A, A326)</f>
        <v>1</v>
      </c>
    </row>
    <row r="327" spans="1:3" x14ac:dyDescent="0.3">
      <c r="A327" s="9" t="s">
        <v>577</v>
      </c>
      <c r="B327" s="48">
        <v>4</v>
      </c>
      <c r="C327" s="2">
        <f>COUNTIF(Worksheet!A:A, A327)</f>
        <v>1</v>
      </c>
    </row>
    <row r="328" spans="1:3" x14ac:dyDescent="0.3">
      <c r="A328" s="9" t="s">
        <v>566</v>
      </c>
      <c r="B328" s="48">
        <v>4</v>
      </c>
      <c r="C328" s="2">
        <f>COUNTIF(Worksheet!A:A, A328)</f>
        <v>1</v>
      </c>
    </row>
    <row r="329" spans="1:3" x14ac:dyDescent="0.3">
      <c r="A329" s="9" t="s">
        <v>560</v>
      </c>
      <c r="B329" s="48">
        <v>4</v>
      </c>
      <c r="C329" s="2">
        <f>COUNTIF(Worksheet!A:A, A329)</f>
        <v>1</v>
      </c>
    </row>
    <row r="330" spans="1:3" x14ac:dyDescent="0.3">
      <c r="A330" s="9" t="s">
        <v>568</v>
      </c>
      <c r="B330" s="48">
        <v>4</v>
      </c>
      <c r="C330" s="2">
        <f>COUNTIF(Worksheet!A:A, A330)</f>
        <v>1</v>
      </c>
    </row>
    <row r="331" spans="1:3" x14ac:dyDescent="0.3">
      <c r="A331" s="9" t="s">
        <v>576</v>
      </c>
      <c r="B331" s="48">
        <v>4</v>
      </c>
      <c r="C331" s="2">
        <f>COUNTIF(Worksheet!A:A, A331)</f>
        <v>1</v>
      </c>
    </row>
    <row r="332" spans="1:3" x14ac:dyDescent="0.3">
      <c r="A332" s="9" t="s">
        <v>569</v>
      </c>
      <c r="B332" s="48">
        <v>4</v>
      </c>
      <c r="C332" s="2">
        <f>COUNTIF(Worksheet!A:A, A332)</f>
        <v>1</v>
      </c>
    </row>
    <row r="333" spans="1:3" x14ac:dyDescent="0.3">
      <c r="A333" s="9" t="s">
        <v>579</v>
      </c>
      <c r="B333" s="48">
        <v>4</v>
      </c>
      <c r="C333" s="2">
        <f>COUNTIF(Worksheet!A:A, A333)</f>
        <v>1</v>
      </c>
    </row>
    <row r="334" spans="1:3" x14ac:dyDescent="0.3">
      <c r="A334" s="9" t="s">
        <v>585</v>
      </c>
      <c r="B334" s="48">
        <v>4</v>
      </c>
      <c r="C334" s="2">
        <f>COUNTIF(Worksheet!A:A, A334)</f>
        <v>1</v>
      </c>
    </row>
    <row r="335" spans="1:3" x14ac:dyDescent="0.3">
      <c r="A335" s="9" t="s">
        <v>583</v>
      </c>
      <c r="B335" s="48">
        <v>4</v>
      </c>
      <c r="C335" s="2">
        <f>COUNTIF(Worksheet!A:A, A335)</f>
        <v>1</v>
      </c>
    </row>
    <row r="336" spans="1:3" x14ac:dyDescent="0.3">
      <c r="A336" s="9" t="s">
        <v>586</v>
      </c>
      <c r="B336" s="48">
        <v>4</v>
      </c>
      <c r="C336" s="2">
        <f>COUNTIF(Worksheet!A:A, A336)</f>
        <v>1</v>
      </c>
    </row>
    <row r="337" spans="1:3" x14ac:dyDescent="0.3">
      <c r="A337" s="9" t="s">
        <v>573</v>
      </c>
      <c r="B337" s="48">
        <v>4</v>
      </c>
      <c r="C337" s="2">
        <f>COUNTIF(Worksheet!A:A, A337)</f>
        <v>1</v>
      </c>
    </row>
    <row r="338" spans="1:3" x14ac:dyDescent="0.3">
      <c r="A338" s="9" t="s">
        <v>588</v>
      </c>
      <c r="B338" s="48">
        <v>4</v>
      </c>
      <c r="C338" s="2">
        <f>COUNTIF(Worksheet!A:A, A338)</f>
        <v>1</v>
      </c>
    </row>
    <row r="339" spans="1:3" x14ac:dyDescent="0.3">
      <c r="A339" s="9" t="s">
        <v>563</v>
      </c>
      <c r="B339" s="48">
        <v>4</v>
      </c>
      <c r="C339" s="2">
        <f>COUNTIF(Worksheet!A:A, A339)</f>
        <v>1</v>
      </c>
    </row>
    <row r="340" spans="1:3" x14ac:dyDescent="0.3">
      <c r="A340" s="9" t="s">
        <v>564</v>
      </c>
      <c r="B340" s="48">
        <v>4</v>
      </c>
      <c r="C340" s="2">
        <f>COUNTIF(Worksheet!A:A, A340)</f>
        <v>1</v>
      </c>
    </row>
    <row r="341" spans="1:3" x14ac:dyDescent="0.3">
      <c r="A341" s="9" t="s">
        <v>572</v>
      </c>
      <c r="B341" s="48">
        <v>4</v>
      </c>
      <c r="C341" s="2">
        <f>COUNTIF(Worksheet!A:A, A341)</f>
        <v>1</v>
      </c>
    </row>
    <row r="342" spans="1:3" x14ac:dyDescent="0.3">
      <c r="A342" s="9" t="s">
        <v>598</v>
      </c>
      <c r="B342" s="48">
        <v>2</v>
      </c>
      <c r="C342" s="2">
        <f>COUNTIF(Worksheet!A:A, A342)</f>
        <v>1</v>
      </c>
    </row>
    <row r="343" spans="1:3" x14ac:dyDescent="0.3">
      <c r="A343" s="9" t="s">
        <v>596</v>
      </c>
      <c r="B343" s="48">
        <v>2</v>
      </c>
      <c r="C343" s="2">
        <f>COUNTIF(Worksheet!A:A, A343)</f>
        <v>1</v>
      </c>
    </row>
    <row r="344" spans="1:3" x14ac:dyDescent="0.3">
      <c r="A344" s="9" t="s">
        <v>592</v>
      </c>
      <c r="B344" s="48">
        <v>2</v>
      </c>
      <c r="C344" s="2">
        <f>COUNTIF(Worksheet!A:A, A344)</f>
        <v>1</v>
      </c>
    </row>
    <row r="345" spans="1:3" x14ac:dyDescent="0.3">
      <c r="A345" s="9" t="s">
        <v>594</v>
      </c>
      <c r="B345" s="48">
        <v>2</v>
      </c>
      <c r="C345" s="2">
        <f>COUNTIF(Worksheet!A:A, A345)</f>
        <v>1</v>
      </c>
    </row>
    <row r="346" spans="1:3" x14ac:dyDescent="0.3">
      <c r="A346" s="9" t="s">
        <v>600</v>
      </c>
      <c r="B346" s="48">
        <v>1</v>
      </c>
      <c r="C346" s="2">
        <f>COUNTIF(Worksheet!A:A, A346)</f>
        <v>1</v>
      </c>
    </row>
    <row r="347" spans="1:3" x14ac:dyDescent="0.3">
      <c r="A347" s="9" t="s">
        <v>608</v>
      </c>
      <c r="B347" s="48">
        <v>0</v>
      </c>
      <c r="C347" s="2">
        <f>COUNTIF(Worksheet!A:A, A347)</f>
        <v>1</v>
      </c>
    </row>
    <row r="348" spans="1:3" x14ac:dyDescent="0.3">
      <c r="A348" s="9" t="s">
        <v>602</v>
      </c>
      <c r="B348" s="48">
        <v>0</v>
      </c>
      <c r="C348" s="2">
        <f>COUNTIF(Worksheet!A:A, A348)</f>
        <v>1</v>
      </c>
    </row>
    <row r="349" spans="1:3" x14ac:dyDescent="0.3">
      <c r="A349" s="9" t="s">
        <v>609</v>
      </c>
      <c r="B349" s="48">
        <v>0</v>
      </c>
      <c r="C349" s="2">
        <f>COUNTIF(Worksheet!A:A, A349)</f>
        <v>4</v>
      </c>
    </row>
    <row r="350" spans="1:3" x14ac:dyDescent="0.3">
      <c r="A350" s="9" t="s">
        <v>604</v>
      </c>
      <c r="B350" s="48">
        <v>0</v>
      </c>
      <c r="C350" s="2">
        <f>COUNTIF(Worksheet!A:A, A350)</f>
        <v>1</v>
      </c>
    </row>
    <row r="351" spans="1:3" x14ac:dyDescent="0.3">
      <c r="A351" s="9" t="s">
        <v>606</v>
      </c>
      <c r="B351" s="48">
        <v>0</v>
      </c>
      <c r="C351" s="2">
        <f>COUNTIF(Worksheet!A:A, A351)</f>
        <v>5</v>
      </c>
    </row>
    <row r="352" spans="1:3" x14ac:dyDescent="0.3">
      <c r="A352" s="10" t="s">
        <v>615</v>
      </c>
      <c r="B352" s="49">
        <v>7205</v>
      </c>
      <c r="C352" s="2">
        <f>SUM(C2:C351)</f>
        <v>550</v>
      </c>
    </row>
  </sheetData>
  <mergeCells count="2">
    <mergeCell ref="F2:H6"/>
    <mergeCell ref="F9:H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I5"/>
  <sheetViews>
    <sheetView showGridLines="0" workbookViewId="0"/>
  </sheetViews>
  <sheetFormatPr defaultColWidth="14.44140625" defaultRowHeight="15" customHeight="1" x14ac:dyDescent="0.3"/>
  <sheetData>
    <row r="1" spans="1:9" x14ac:dyDescent="0.3">
      <c r="A1" s="6" t="s">
        <v>6</v>
      </c>
      <c r="B1" s="7" t="s">
        <v>616</v>
      </c>
    </row>
    <row r="2" spans="1:9" x14ac:dyDescent="0.3">
      <c r="A2" s="8" t="s">
        <v>14</v>
      </c>
      <c r="B2" s="47">
        <v>240</v>
      </c>
      <c r="H2" s="6" t="s">
        <v>6</v>
      </c>
      <c r="I2" s="7" t="s">
        <v>617</v>
      </c>
    </row>
    <row r="3" spans="1:9" x14ac:dyDescent="0.3">
      <c r="A3" s="9" t="s">
        <v>11</v>
      </c>
      <c r="B3" s="48">
        <v>310</v>
      </c>
      <c r="H3" s="8" t="s">
        <v>14</v>
      </c>
      <c r="I3" s="47">
        <v>3093</v>
      </c>
    </row>
    <row r="4" spans="1:9" x14ac:dyDescent="0.3">
      <c r="A4" s="10" t="s">
        <v>615</v>
      </c>
      <c r="B4" s="49">
        <v>550</v>
      </c>
      <c r="H4" s="9" t="s">
        <v>11</v>
      </c>
      <c r="I4" s="48">
        <v>4112</v>
      </c>
    </row>
    <row r="5" spans="1:9" x14ac:dyDescent="0.3">
      <c r="H5" s="10" t="s">
        <v>615</v>
      </c>
      <c r="I5" s="49">
        <v>7205</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0E079-365B-4FCB-B94A-2F24FD2DECEE}">
  <dimension ref="A3:D16"/>
  <sheetViews>
    <sheetView tabSelected="1" workbookViewId="0">
      <selection activeCell="V20" sqref="V20"/>
    </sheetView>
  </sheetViews>
  <sheetFormatPr defaultRowHeight="14.4" x14ac:dyDescent="0.3"/>
  <cols>
    <col min="1" max="1" width="30.5546875" bestFit="1" customWidth="1"/>
    <col min="2" max="2" width="10.44140625" bestFit="1" customWidth="1"/>
    <col min="3" max="3" width="10.5546875" bestFit="1" customWidth="1"/>
    <col min="4" max="4" width="10.77734375" bestFit="1" customWidth="1"/>
    <col min="5" max="12" width="5" bestFit="1" customWidth="1"/>
    <col min="13" max="13" width="7" bestFit="1" customWidth="1"/>
    <col min="14" max="14" width="10.77734375" bestFit="1" customWidth="1"/>
  </cols>
  <sheetData>
    <row r="3" spans="1:4" x14ac:dyDescent="0.3">
      <c r="A3" s="13" t="s">
        <v>619</v>
      </c>
      <c r="B3" s="16" t="s">
        <v>6</v>
      </c>
    </row>
    <row r="4" spans="1:4" x14ac:dyDescent="0.3">
      <c r="A4" s="17" t="s">
        <v>5</v>
      </c>
      <c r="B4" s="15" t="s">
        <v>14</v>
      </c>
      <c r="C4" t="s">
        <v>11</v>
      </c>
      <c r="D4" t="s">
        <v>615</v>
      </c>
    </row>
    <row r="5" spans="1:4" x14ac:dyDescent="0.3">
      <c r="A5" s="14">
        <v>2009</v>
      </c>
      <c r="B5" s="18">
        <v>253</v>
      </c>
      <c r="C5" s="18">
        <v>356</v>
      </c>
      <c r="D5" s="18">
        <v>609</v>
      </c>
    </row>
    <row r="6" spans="1:4" x14ac:dyDescent="0.3">
      <c r="A6" s="14">
        <v>2010</v>
      </c>
      <c r="B6" s="18">
        <v>202</v>
      </c>
      <c r="C6" s="18">
        <v>424</v>
      </c>
      <c r="D6" s="18">
        <v>626</v>
      </c>
    </row>
    <row r="7" spans="1:4" x14ac:dyDescent="0.3">
      <c r="A7" s="14">
        <v>2011</v>
      </c>
      <c r="B7" s="18">
        <v>379</v>
      </c>
      <c r="C7" s="18">
        <v>329</v>
      </c>
      <c r="D7" s="18">
        <v>708</v>
      </c>
    </row>
    <row r="8" spans="1:4" x14ac:dyDescent="0.3">
      <c r="A8" s="14">
        <v>2012</v>
      </c>
      <c r="B8" s="18">
        <v>232</v>
      </c>
      <c r="C8" s="18">
        <v>288</v>
      </c>
      <c r="D8" s="18">
        <v>520</v>
      </c>
    </row>
    <row r="9" spans="1:4" x14ac:dyDescent="0.3">
      <c r="A9" s="14">
        <v>2013</v>
      </c>
      <c r="B9" s="18">
        <v>318</v>
      </c>
      <c r="C9" s="18">
        <v>304</v>
      </c>
      <c r="D9" s="18">
        <v>622</v>
      </c>
    </row>
    <row r="10" spans="1:4" x14ac:dyDescent="0.3">
      <c r="A10" s="14">
        <v>2014</v>
      </c>
      <c r="B10" s="18">
        <v>372</v>
      </c>
      <c r="C10" s="18">
        <v>241</v>
      </c>
      <c r="D10" s="18">
        <v>613</v>
      </c>
    </row>
    <row r="11" spans="1:4" x14ac:dyDescent="0.3">
      <c r="A11" s="14">
        <v>2015</v>
      </c>
      <c r="B11" s="18">
        <v>192</v>
      </c>
      <c r="C11" s="18">
        <v>571</v>
      </c>
      <c r="D11" s="18">
        <v>763</v>
      </c>
    </row>
    <row r="12" spans="1:4" x14ac:dyDescent="0.3">
      <c r="A12" s="14">
        <v>2016</v>
      </c>
      <c r="B12" s="18">
        <v>256</v>
      </c>
      <c r="C12" s="18">
        <v>518</v>
      </c>
      <c r="D12" s="18">
        <v>774</v>
      </c>
    </row>
    <row r="13" spans="1:4" x14ac:dyDescent="0.3">
      <c r="A13" s="14">
        <v>2017</v>
      </c>
      <c r="B13" s="18">
        <v>379</v>
      </c>
      <c r="C13" s="18">
        <v>259</v>
      </c>
      <c r="D13" s="18">
        <v>638</v>
      </c>
    </row>
    <row r="14" spans="1:4" x14ac:dyDescent="0.3">
      <c r="A14" s="14">
        <v>2018</v>
      </c>
      <c r="B14" s="18">
        <v>296</v>
      </c>
      <c r="C14" s="18">
        <v>436</v>
      </c>
      <c r="D14" s="18">
        <v>732</v>
      </c>
    </row>
    <row r="15" spans="1:4" x14ac:dyDescent="0.3">
      <c r="A15" s="14">
        <v>2019</v>
      </c>
      <c r="B15" s="18">
        <v>214</v>
      </c>
      <c r="C15" s="18">
        <v>386</v>
      </c>
      <c r="D15" s="18">
        <v>600</v>
      </c>
    </row>
    <row r="16" spans="1:4" x14ac:dyDescent="0.3">
      <c r="A16" s="14" t="s">
        <v>615</v>
      </c>
      <c r="B16" s="18">
        <v>3093</v>
      </c>
      <c r="C16" s="18">
        <v>4112</v>
      </c>
      <c r="D16" s="18">
        <v>7205</v>
      </c>
    </row>
  </sheetData>
  <pageMargins left="0.7" right="0.7" top="0.75" bottom="0.75" header="0.3" footer="0.3"/>
  <pageSetup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Worksheet</vt:lpstr>
      <vt:lpstr>Pivot Table 1</vt:lpstr>
      <vt:lpstr>Pivot Table 2</vt:lpstr>
      <vt:lpstr>Pivot Table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Min Lian</cp:lastModifiedBy>
  <dcterms:modified xsi:type="dcterms:W3CDTF">2025-11-12T18:28:10Z</dcterms:modified>
</cp:coreProperties>
</file>